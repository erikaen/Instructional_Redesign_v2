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 Current" sheetId="1" state="visible" r:id="rId1"/>
    <sheet name="IS Final" sheetId="2" state="visible" r:id="rId2"/>
    <sheet name="MC Current" sheetId="3" state="visible" r:id="rId3"/>
    <sheet name="MC Final" sheetId="4" state="visible" r:id="rId4"/>
    <sheet name="CF Current" sheetId="5" state="visible" r:id="rId5"/>
    <sheet name="CF Fin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theme="3" tint="0.8"/>
      </patternFill>
    </fill>
    <fill>
      <patternFill patternType="solid">
        <fgColor theme="4" tint="0.8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2" borderId="0" pivotButton="0" quotePrefix="0" xfId="0"/>
    <xf numFmtId="0" fontId="3" fillId="3" borderId="1" pivotButton="0" quotePrefix="0" xfId="0"/>
    <xf numFmtId="0" fontId="4" fillId="3" borderId="1" pivotButton="0" quotePrefix="0" xfId="0"/>
    <xf numFmtId="164" fontId="4" fillId="3" borderId="1" pivotButton="0" quotePrefix="0" xfId="0"/>
    <xf numFmtId="0" fontId="4" fillId="4" borderId="0" pivotButton="0" quotePrefix="0" xfId="0"/>
    <xf numFmtId="0" fontId="0" fillId="3" borderId="1" pivotButton="0" quotePrefix="0" xfId="0"/>
    <xf numFmtId="0" fontId="4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48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3" customWidth="1" min="3" max="3"/>
    <col width="14" customWidth="1" min="4" max="4"/>
  </cols>
  <sheetData>
    <row r="1">
      <c r="B1" s="1" t="inlineStr">
        <is>
          <t>Income Statement</t>
        </is>
      </c>
    </row>
    <row r="2">
      <c r="B2" s="2" t="inlineStr">
        <is>
          <t>For the period June 1 – August 31, 2026</t>
        </is>
      </c>
    </row>
    <row r="4">
      <c r="B4" s="3" t="inlineStr">
        <is>
          <t>Rent used — June</t>
        </is>
      </c>
      <c r="D4" s="4" t="n">
        <v>-650</v>
      </c>
    </row>
    <row r="5">
      <c r="B5" s="3" t="inlineStr">
        <is>
          <t>Repair collected — Dana R.</t>
        </is>
      </c>
      <c r="D5" s="4" t="n">
        <v>120</v>
      </c>
    </row>
    <row r="6">
      <c r="B6" s="3" t="inlineStr">
        <is>
          <t>Parts used — Dana R.</t>
        </is>
      </c>
      <c r="D6" s="4" t="n">
        <v>-10</v>
      </c>
    </row>
    <row r="7">
      <c r="B7" s="3" t="inlineStr">
        <is>
          <t>Repair collected — Marcus T.</t>
        </is>
      </c>
      <c r="D7" s="4" t="n">
        <v>150</v>
      </c>
    </row>
    <row r="8">
      <c r="B8" s="3" t="inlineStr">
        <is>
          <t>Repair collected — Priya S.</t>
        </is>
      </c>
      <c r="D8" s="4" t="n">
        <v>270</v>
      </c>
    </row>
    <row r="9">
      <c r="B9" s="3" t="inlineStr">
        <is>
          <t>Parts used — Priya S.</t>
        </is>
      </c>
      <c r="D9" s="4" t="n">
        <v>-25</v>
      </c>
    </row>
    <row r="10">
      <c r="B10" s="3" t="inlineStr">
        <is>
          <t>Repair collected — Liam O.</t>
        </is>
      </c>
      <c r="D10" s="4" t="n">
        <v>300</v>
      </c>
    </row>
    <row r="11">
      <c r="B11" s="3" t="inlineStr">
        <is>
          <t>Parts used — Liam O.</t>
        </is>
      </c>
      <c r="D11" s="4" t="n">
        <v>-95</v>
      </c>
    </row>
    <row r="12">
      <c r="B12" s="3" t="inlineStr">
        <is>
          <t>Repair collected — Sofia M.</t>
        </is>
      </c>
      <c r="D12" s="4" t="n">
        <v>150</v>
      </c>
    </row>
    <row r="13">
      <c r="B13" s="3" t="inlineStr">
        <is>
          <t>Repair collected — Jamal W.</t>
        </is>
      </c>
      <c r="D13" s="4" t="n">
        <v>360</v>
      </c>
    </row>
    <row r="14">
      <c r="B14" s="3" t="inlineStr">
        <is>
          <t>Parts used — Jamal W.</t>
        </is>
      </c>
      <c r="D14" s="4" t="n">
        <v>-60</v>
      </c>
    </row>
    <row r="15">
      <c r="B15" s="3" t="inlineStr">
        <is>
          <t>Repair collected — Erin K.</t>
        </is>
      </c>
      <c r="D15" s="4" t="n">
        <v>225</v>
      </c>
    </row>
    <row r="16">
      <c r="B16" s="3" t="inlineStr">
        <is>
          <t>Parts used — Erin K.</t>
        </is>
      </c>
      <c r="D16" s="4" t="n">
        <v>-40</v>
      </c>
    </row>
    <row r="17">
      <c r="B17" s="3" t="inlineStr">
        <is>
          <t>Repair collected — Noah B.</t>
        </is>
      </c>
      <c r="D17" s="4" t="n">
        <v>210</v>
      </c>
    </row>
    <row r="18">
      <c r="B18" s="3" t="inlineStr">
        <is>
          <t>Parts used — Noah B.</t>
        </is>
      </c>
      <c r="D18" s="4" t="n">
        <v>-65</v>
      </c>
    </row>
    <row r="19">
      <c r="B19" s="3" t="inlineStr">
        <is>
          <t>Rent used — July</t>
        </is>
      </c>
      <c r="D19" s="4" t="n">
        <v>-650</v>
      </c>
    </row>
    <row r="20">
      <c r="B20" s="3" t="inlineStr">
        <is>
          <t>Repair collected — Grace L.</t>
        </is>
      </c>
      <c r="D20" s="4" t="n">
        <v>240</v>
      </c>
    </row>
    <row r="21">
      <c r="B21" s="3" t="inlineStr">
        <is>
          <t>Parts used — Grace L.</t>
        </is>
      </c>
      <c r="D21" s="4" t="n">
        <v>-35</v>
      </c>
    </row>
    <row r="22">
      <c r="B22" s="3" t="inlineStr">
        <is>
          <t>Repair collected — Theo H.</t>
        </is>
      </c>
      <c r="D22" s="4" t="n">
        <v>240</v>
      </c>
    </row>
    <row r="23">
      <c r="B23" s="3" t="inlineStr">
        <is>
          <t>Parts used — Theo H.</t>
        </is>
      </c>
      <c r="D23" s="4" t="n">
        <v>-25</v>
      </c>
    </row>
    <row r="24">
      <c r="B24" s="3" t="inlineStr">
        <is>
          <t>Repair collected — Maya P.</t>
        </is>
      </c>
      <c r="D24" s="4" t="n">
        <v>450</v>
      </c>
    </row>
    <row r="25">
      <c r="B25" s="3" t="inlineStr">
        <is>
          <t>Parts used — Maya P.</t>
        </is>
      </c>
      <c r="D25" s="4" t="n">
        <v>-125</v>
      </c>
    </row>
    <row r="26">
      <c r="B26" s="3" t="inlineStr">
        <is>
          <t>Repair collected — Owen C.</t>
        </is>
      </c>
      <c r="D26" s="4" t="n">
        <v>360</v>
      </c>
    </row>
    <row r="27">
      <c r="B27" s="3" t="inlineStr">
        <is>
          <t>Parts used — Owen C.</t>
        </is>
      </c>
      <c r="D27" s="4" t="n">
        <v>-55</v>
      </c>
    </row>
    <row r="28">
      <c r="B28" s="3" t="inlineStr">
        <is>
          <t>Repair collected — Ava D.</t>
        </is>
      </c>
      <c r="D28" s="4" t="n">
        <v>270</v>
      </c>
    </row>
    <row r="29">
      <c r="B29" s="3" t="inlineStr">
        <is>
          <t>Parts used — Ava D.</t>
        </is>
      </c>
      <c r="D29" s="4" t="n">
        <v>-45</v>
      </c>
    </row>
    <row r="30">
      <c r="B30" s="3" t="inlineStr">
        <is>
          <t>Repair collected — Leo F.</t>
        </is>
      </c>
      <c r="D30" s="4" t="n">
        <v>240</v>
      </c>
    </row>
    <row r="31">
      <c r="B31" s="3" t="inlineStr">
        <is>
          <t>Parts used — Leo F.</t>
        </is>
      </c>
      <c r="D31" s="4" t="n">
        <v>-100</v>
      </c>
    </row>
    <row r="32">
      <c r="B32" s="3" t="inlineStr">
        <is>
          <t>Repair collected — Nina V.</t>
        </is>
      </c>
      <c r="D32" s="4" t="n">
        <v>300</v>
      </c>
    </row>
    <row r="33">
      <c r="B33" s="3" t="inlineStr">
        <is>
          <t>Parts used — Nina V.</t>
        </is>
      </c>
      <c r="D33" s="4" t="n">
        <v>-80</v>
      </c>
    </row>
    <row r="34">
      <c r="B34" s="3" t="inlineStr">
        <is>
          <t>Rent used — August</t>
        </is>
      </c>
      <c r="D34" s="4" t="n">
        <v>-650</v>
      </c>
    </row>
    <row r="35">
      <c r="B35" s="3" t="inlineStr">
        <is>
          <t>Repair collected — Caleb G.</t>
        </is>
      </c>
      <c r="D35" s="4" t="n">
        <v>240</v>
      </c>
    </row>
    <row r="36">
      <c r="B36" s="3" t="inlineStr">
        <is>
          <t>Parts used — Caleb G.</t>
        </is>
      </c>
      <c r="D36" s="4" t="n">
        <v>-25</v>
      </c>
    </row>
    <row r="37">
      <c r="B37" s="3" t="inlineStr">
        <is>
          <t>Repair collected — Ruth A.</t>
        </is>
      </c>
      <c r="D37" s="4" t="n">
        <v>485</v>
      </c>
    </row>
    <row r="38">
      <c r="B38" s="3" t="inlineStr">
        <is>
          <t>Parts used — Ruth A.</t>
        </is>
      </c>
      <c r="D38" s="4" t="n">
        <v>-129</v>
      </c>
    </row>
    <row r="39">
      <c r="B39" s="3" t="inlineStr">
        <is>
          <t>Repair collected — Sam Q.</t>
        </is>
      </c>
      <c r="D39" s="4" t="n">
        <v>390</v>
      </c>
    </row>
    <row r="40">
      <c r="B40" s="3" t="inlineStr">
        <is>
          <t>Parts used — Sam Q.</t>
        </is>
      </c>
      <c r="D40" s="4" t="n">
        <v>-70</v>
      </c>
    </row>
    <row r="41">
      <c r="B41" s="3" t="inlineStr">
        <is>
          <t>Repair collected — Westville Bike Share</t>
        </is>
      </c>
      <c r="D41" s="4" t="n">
        <v>500</v>
      </c>
    </row>
    <row r="42">
      <c r="B42" s="3" t="inlineStr">
        <is>
          <t>Parts used — Westville Bike Share</t>
        </is>
      </c>
      <c r="D42" s="4" t="n">
        <v>-105</v>
      </c>
    </row>
    <row r="43">
      <c r="B43" s="3" t="inlineStr">
        <is>
          <t>Repair delivered — Ridgeline Trail Crew, billed net 15 (unpaid)</t>
        </is>
      </c>
      <c r="D43" s="4" t="n">
        <v>300</v>
      </c>
    </row>
    <row r="44">
      <c r="B44" s="3" t="inlineStr">
        <is>
          <t>Parts used — Ridgeline Trail Crew</t>
        </is>
      </c>
      <c r="D44" s="4" t="n">
        <v>-75</v>
      </c>
    </row>
    <row r="45">
      <c r="B45" s="3" t="inlineStr">
        <is>
          <t>Frame delivered — J. Smith (deposit earned)</t>
        </is>
      </c>
      <c r="D45" s="4" t="n">
        <v>220</v>
      </c>
    </row>
    <row r="46">
      <c r="B46" s="3" t="inlineStr">
        <is>
          <t>Parts used — J. Smith</t>
        </is>
      </c>
      <c r="D46" s="4" t="n">
        <v>-36</v>
      </c>
    </row>
    <row r="47">
      <c r="B47" s="3" t="inlineStr">
        <is>
          <t>Depreciation — tools, equipment &amp; fixtures, Summer 2026</t>
        </is>
      </c>
      <c r="D47" s="4" t="n">
        <v>-200</v>
      </c>
    </row>
    <row r="48">
      <c r="B48" s="3" t="inlineStr">
        <is>
          <t>Depreciation — laptop, Summer 2026</t>
        </is>
      </c>
      <c r="D48" s="4" t="n">
        <v>-30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4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3" customWidth="1" min="3" max="3"/>
    <col width="14" customWidth="1" min="4" max="4"/>
  </cols>
  <sheetData>
    <row r="1">
      <c r="B1" s="1" t="inlineStr">
        <is>
          <t>Income Statement</t>
        </is>
      </c>
    </row>
    <row r="2">
      <c r="B2" s="2" t="inlineStr">
        <is>
          <t>For the period June 1 – August 31, 2026</t>
        </is>
      </c>
    </row>
    <row r="4">
      <c r="B4" s="5" t="inlineStr">
        <is>
          <t>Revenue</t>
        </is>
      </c>
      <c r="C4" s="5" t="n"/>
      <c r="D4" s="5" t="n"/>
    </row>
    <row r="5">
      <c r="B5" s="3" t="inlineStr">
        <is>
          <t>Repair services</t>
        </is>
      </c>
      <c r="D5" s="4">
        <f>SUMIF('IS Current'!D4:D48,"&gt;0")</f>
        <v/>
      </c>
    </row>
    <row r="6">
      <c r="B6" s="6" t="inlineStr">
        <is>
          <t>Total revenue</t>
        </is>
      </c>
      <c r="C6" s="7" t="n"/>
      <c r="D6" s="8">
        <f>D5</f>
        <v/>
      </c>
    </row>
    <row r="8">
      <c r="B8" s="5" t="inlineStr">
        <is>
          <t>Expenses</t>
        </is>
      </c>
      <c r="C8" s="5" t="n"/>
      <c r="D8" s="5" t="n"/>
    </row>
    <row r="9">
      <c r="B9" s="3" t="inlineStr">
        <is>
          <t>Parts used</t>
        </is>
      </c>
      <c r="D9" s="4">
        <f>-SUMPRODUCT(--ISNUMBER(SEARCH("Parts used",'IS Current'!B4:B48)),'IS Current'!D4:D48)</f>
        <v/>
      </c>
    </row>
    <row r="10">
      <c r="B10" s="3" t="inlineStr">
        <is>
          <t>Rent</t>
        </is>
      </c>
      <c r="D10" s="4">
        <f>-SUMPRODUCT(--ISNUMBER(SEARCH("Rent used",'IS Current'!B4:B48)),'IS Current'!D4:D48)</f>
        <v/>
      </c>
    </row>
    <row r="11">
      <c r="B11" s="3" t="inlineStr">
        <is>
          <t>Depreciation</t>
        </is>
      </c>
      <c r="D11" s="4">
        <f>-SUMPRODUCT(--ISNUMBER(SEARCH("Depreciation",'IS Current'!B4:B48)),'IS Current'!D4:D48)</f>
        <v/>
      </c>
    </row>
    <row r="12">
      <c r="B12" s="6" t="inlineStr">
        <is>
          <t>Total expenses</t>
        </is>
      </c>
      <c r="C12" s="7" t="n"/>
      <c r="D12" s="8">
        <f>SUM(D9:D11)</f>
        <v/>
      </c>
    </row>
    <row r="14">
      <c r="B14" s="6" t="inlineStr">
        <is>
          <t>Net income</t>
        </is>
      </c>
      <c r="C14" s="7" t="n"/>
      <c r="D14" s="8">
        <f>D6-D12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72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3" customWidth="1" min="3" max="3"/>
    <col width="14" customWidth="1" min="4" max="4"/>
  </cols>
  <sheetData>
    <row r="1">
      <c r="B1" s="1" t="inlineStr">
        <is>
          <t>Statement of Members' Capital</t>
        </is>
      </c>
    </row>
    <row r="2">
      <c r="B2" s="2" t="inlineStr">
        <is>
          <t>For the period June 1 – August 31, 2026</t>
        </is>
      </c>
    </row>
    <row r="4">
      <c r="B4" s="9" t="inlineStr">
        <is>
          <t>CONTRIBUTED</t>
        </is>
      </c>
    </row>
    <row r="5">
      <c r="B5" s="3" t="inlineStr">
        <is>
          <t>Cash — covered from your personal funds (May)</t>
        </is>
      </c>
      <c r="D5" s="4" t="n">
        <v>160</v>
      </c>
    </row>
    <row r="6">
      <c r="B6" s="3" t="inlineStr">
        <is>
          <t>Laptop — brought from home (May)</t>
        </is>
      </c>
      <c r="D6" s="4" t="n">
        <v>610</v>
      </c>
    </row>
    <row r="7">
      <c r="B7" s="3" t="inlineStr">
        <is>
          <t>Equipment — gear from home — grinder, headset press, shop vacuum (May)</t>
        </is>
      </c>
      <c r="D7" s="4" t="n">
        <v>220</v>
      </c>
    </row>
    <row r="8">
      <c r="B8" s="3" t="inlineStr">
        <is>
          <t>Cash — deposited to open the LLC bank account (June 1)</t>
        </is>
      </c>
      <c r="D8" s="4" t="n">
        <v>1300</v>
      </c>
    </row>
    <row r="9">
      <c r="B9" s="6" t="inlineStr">
        <is>
          <t>Balance, June 1, 2026</t>
        </is>
      </c>
      <c r="C9" s="10" t="n"/>
      <c r="D9" s="8">
        <f>SUM(D5:D8)</f>
        <v/>
      </c>
    </row>
    <row r="10">
      <c r="B10" s="6" t="inlineStr">
        <is>
          <t>Balance, August 31, 2026</t>
        </is>
      </c>
      <c r="C10" s="10" t="n"/>
      <c r="D10" s="8">
        <f>D9</f>
        <v/>
      </c>
    </row>
    <row r="12">
      <c r="B12" s="9" t="inlineStr">
        <is>
          <t>GENERATED</t>
        </is>
      </c>
    </row>
    <row r="13">
      <c r="B13" s="3" t="inlineStr">
        <is>
          <t>Repair collected — Brake job + Tune-up + Tire mounting ×2 @ $70</t>
        </is>
      </c>
      <c r="D13" s="4" t="n">
        <v>340</v>
      </c>
    </row>
    <row r="14">
      <c r="B14" s="3" t="inlineStr">
        <is>
          <t>Repair collected — Walk-ins — mixed work (no itemized detail)</t>
        </is>
      </c>
      <c r="D14" s="4" t="n">
        <v>180</v>
      </c>
    </row>
    <row r="15">
      <c r="B15" s="3" t="inlineStr">
        <is>
          <t>Repair collected — Tune-up</t>
        </is>
      </c>
      <c r="D15" s="4" t="n">
        <v>80</v>
      </c>
    </row>
    <row r="16">
      <c r="B16" s="3" t="inlineStr">
        <is>
          <t>Repair collected — Brake overhaul</t>
        </is>
      </c>
      <c r="D16" s="4" t="n">
        <v>140</v>
      </c>
    </row>
    <row r="17">
      <c r="B17" s="3" t="inlineStr">
        <is>
          <t>Repair collected — Chain + cassette replacement</t>
        </is>
      </c>
      <c r="D17" s="4" t="n">
        <v>130</v>
      </c>
    </row>
    <row r="18">
      <c r="B18" s="3" t="inlineStr">
        <is>
          <t>Repair collected — Tune-up + minor repair</t>
        </is>
      </c>
      <c r="D18" s="4" t="n">
        <v>100</v>
      </c>
    </row>
    <row r="19">
      <c r="B19" s="3" t="inlineStr">
        <is>
          <t>Repair collected — Custom wheel work + new spokes</t>
        </is>
      </c>
      <c r="D19" s="4" t="n">
        <v>150</v>
      </c>
    </row>
    <row r="20">
      <c r="B20" s="3" t="inlineStr">
        <is>
          <t>Parts used — May</t>
        </is>
      </c>
      <c r="D20" s="4" t="n">
        <v>-300</v>
      </c>
    </row>
    <row r="21">
      <c r="B21" s="3" t="inlineStr">
        <is>
          <t>Rent used — May</t>
        </is>
      </c>
      <c r="D21" s="4" t="n">
        <v>-650</v>
      </c>
    </row>
    <row r="22">
      <c r="B22" s="6" t="inlineStr">
        <is>
          <t>Balance, June 1, 2026</t>
        </is>
      </c>
      <c r="C22" s="10" t="n"/>
      <c r="D22" s="8">
        <f>SUM(D13:D21)</f>
        <v/>
      </c>
    </row>
    <row r="23">
      <c r="B23" s="3" t="inlineStr">
        <is>
          <t>Rent used — June</t>
        </is>
      </c>
      <c r="D23" s="4" t="n">
        <v>-650</v>
      </c>
    </row>
    <row r="24">
      <c r="B24" s="3" t="inlineStr">
        <is>
          <t>Repair collected — Dana R.</t>
        </is>
      </c>
      <c r="D24" s="4" t="n">
        <v>120</v>
      </c>
    </row>
    <row r="25">
      <c r="B25" s="3" t="inlineStr">
        <is>
          <t>Parts used — Dana R.</t>
        </is>
      </c>
      <c r="D25" s="4" t="n">
        <v>-10</v>
      </c>
    </row>
    <row r="26">
      <c r="B26" s="3" t="inlineStr">
        <is>
          <t>Repair collected — Marcus T.</t>
        </is>
      </c>
      <c r="D26" s="4" t="n">
        <v>150</v>
      </c>
    </row>
    <row r="27">
      <c r="B27" s="3" t="inlineStr">
        <is>
          <t>Repair collected — Priya S.</t>
        </is>
      </c>
      <c r="D27" s="4" t="n">
        <v>270</v>
      </c>
    </row>
    <row r="28">
      <c r="B28" s="3" t="inlineStr">
        <is>
          <t>Parts used — Priya S.</t>
        </is>
      </c>
      <c r="D28" s="4" t="n">
        <v>-25</v>
      </c>
    </row>
    <row r="29">
      <c r="B29" s="3" t="inlineStr">
        <is>
          <t>Repair collected — Liam O.</t>
        </is>
      </c>
      <c r="D29" s="4" t="n">
        <v>300</v>
      </c>
    </row>
    <row r="30">
      <c r="B30" s="3" t="inlineStr">
        <is>
          <t>Parts used — Liam O.</t>
        </is>
      </c>
      <c r="D30" s="4" t="n">
        <v>-95</v>
      </c>
    </row>
    <row r="31">
      <c r="B31" s="3" t="inlineStr">
        <is>
          <t>Repair collected — Sofia M.</t>
        </is>
      </c>
      <c r="D31" s="4" t="n">
        <v>150</v>
      </c>
    </row>
    <row r="32">
      <c r="B32" s="3" t="inlineStr">
        <is>
          <t>Repair collected — Jamal W.</t>
        </is>
      </c>
      <c r="D32" s="4" t="n">
        <v>360</v>
      </c>
    </row>
    <row r="33">
      <c r="B33" s="3" t="inlineStr">
        <is>
          <t>Parts used — Jamal W.</t>
        </is>
      </c>
      <c r="D33" s="4" t="n">
        <v>-60</v>
      </c>
    </row>
    <row r="34">
      <c r="B34" s="3" t="inlineStr">
        <is>
          <t>Repair collected — Erin K.</t>
        </is>
      </c>
      <c r="D34" s="4" t="n">
        <v>225</v>
      </c>
    </row>
    <row r="35">
      <c r="B35" s="3" t="inlineStr">
        <is>
          <t>Parts used — Erin K.</t>
        </is>
      </c>
      <c r="D35" s="4" t="n">
        <v>-40</v>
      </c>
    </row>
    <row r="36">
      <c r="B36" s="3" t="inlineStr">
        <is>
          <t>Repair collected — Noah B.</t>
        </is>
      </c>
      <c r="D36" s="4" t="n">
        <v>210</v>
      </c>
    </row>
    <row r="37">
      <c r="B37" s="3" t="inlineStr">
        <is>
          <t>Parts used — Noah B.</t>
        </is>
      </c>
      <c r="D37" s="4" t="n">
        <v>-65</v>
      </c>
    </row>
    <row r="38">
      <c r="B38" s="3" t="inlineStr">
        <is>
          <t>Rent used — July</t>
        </is>
      </c>
      <c r="D38" s="4" t="n">
        <v>-650</v>
      </c>
    </row>
    <row r="39">
      <c r="B39" s="3" t="inlineStr">
        <is>
          <t>Repair collected — Grace L.</t>
        </is>
      </c>
      <c r="D39" s="4" t="n">
        <v>240</v>
      </c>
    </row>
    <row r="40">
      <c r="B40" s="3" t="inlineStr">
        <is>
          <t>Parts used — Grace L.</t>
        </is>
      </c>
      <c r="D40" s="4" t="n">
        <v>-35</v>
      </c>
    </row>
    <row r="41">
      <c r="B41" s="3" t="inlineStr">
        <is>
          <t>Repair collected — Theo H.</t>
        </is>
      </c>
      <c r="D41" s="4" t="n">
        <v>240</v>
      </c>
    </row>
    <row r="42">
      <c r="B42" s="3" t="inlineStr">
        <is>
          <t>Parts used — Theo H.</t>
        </is>
      </c>
      <c r="D42" s="4" t="n">
        <v>-25</v>
      </c>
    </row>
    <row r="43">
      <c r="B43" s="3" t="inlineStr">
        <is>
          <t>Repair collected — Maya P.</t>
        </is>
      </c>
      <c r="D43" s="4" t="n">
        <v>450</v>
      </c>
    </row>
    <row r="44">
      <c r="B44" s="3" t="inlineStr">
        <is>
          <t>Parts used — Maya P.</t>
        </is>
      </c>
      <c r="D44" s="4" t="n">
        <v>-125</v>
      </c>
    </row>
    <row r="45">
      <c r="B45" s="3" t="inlineStr">
        <is>
          <t>Repair collected — Owen C.</t>
        </is>
      </c>
      <c r="D45" s="4" t="n">
        <v>360</v>
      </c>
    </row>
    <row r="46">
      <c r="B46" s="3" t="inlineStr">
        <is>
          <t>Parts used — Owen C.</t>
        </is>
      </c>
      <c r="D46" s="4" t="n">
        <v>-55</v>
      </c>
    </row>
    <row r="47">
      <c r="B47" s="3" t="inlineStr">
        <is>
          <t>Repair collected — Ava D.</t>
        </is>
      </c>
      <c r="D47" s="4" t="n">
        <v>270</v>
      </c>
    </row>
    <row r="48">
      <c r="B48" s="3" t="inlineStr">
        <is>
          <t>Parts used — Ava D.</t>
        </is>
      </c>
      <c r="D48" s="4" t="n">
        <v>-45</v>
      </c>
    </row>
    <row r="49">
      <c r="B49" s="3" t="inlineStr">
        <is>
          <t>Repair collected — Leo F.</t>
        </is>
      </c>
      <c r="D49" s="4" t="n">
        <v>240</v>
      </c>
    </row>
    <row r="50">
      <c r="B50" s="3" t="inlineStr">
        <is>
          <t>Parts used — Leo F.</t>
        </is>
      </c>
      <c r="D50" s="4" t="n">
        <v>-100</v>
      </c>
    </row>
    <row r="51">
      <c r="B51" s="3" t="inlineStr">
        <is>
          <t>Repair collected — Nina V.</t>
        </is>
      </c>
      <c r="D51" s="4" t="n">
        <v>300</v>
      </c>
    </row>
    <row r="52">
      <c r="B52" s="3" t="inlineStr">
        <is>
          <t>Parts used — Nina V.</t>
        </is>
      </c>
      <c r="D52" s="4" t="n">
        <v>-80</v>
      </c>
    </row>
    <row r="53">
      <c r="B53" s="3" t="inlineStr">
        <is>
          <t>Rent used — August</t>
        </is>
      </c>
      <c r="D53" s="4" t="n">
        <v>-650</v>
      </c>
    </row>
    <row r="54">
      <c r="B54" s="3" t="inlineStr">
        <is>
          <t>Repair collected — Caleb G.</t>
        </is>
      </c>
      <c r="D54" s="4" t="n">
        <v>240</v>
      </c>
    </row>
    <row r="55">
      <c r="B55" s="3" t="inlineStr">
        <is>
          <t>Parts used — Caleb G.</t>
        </is>
      </c>
      <c r="D55" s="4" t="n">
        <v>-25</v>
      </c>
    </row>
    <row r="56">
      <c r="B56" s="3" t="inlineStr">
        <is>
          <t>Repair collected — Ruth A.</t>
        </is>
      </c>
      <c r="D56" s="4" t="n">
        <v>485</v>
      </c>
    </row>
    <row r="57">
      <c r="B57" s="3" t="inlineStr">
        <is>
          <t>Parts used — Ruth A.</t>
        </is>
      </c>
      <c r="D57" s="4" t="n">
        <v>-129</v>
      </c>
    </row>
    <row r="58">
      <c r="B58" s="3" t="inlineStr">
        <is>
          <t>Repair collected — Sam Q.</t>
        </is>
      </c>
      <c r="D58" s="4" t="n">
        <v>390</v>
      </c>
    </row>
    <row r="59">
      <c r="B59" s="3" t="inlineStr">
        <is>
          <t>Parts used — Sam Q.</t>
        </is>
      </c>
      <c r="D59" s="4" t="n">
        <v>-70</v>
      </c>
    </row>
    <row r="60">
      <c r="B60" s="3" t="inlineStr">
        <is>
          <t>Repair collected — Westville Bike Share</t>
        </is>
      </c>
      <c r="D60" s="4" t="n">
        <v>500</v>
      </c>
    </row>
    <row r="61">
      <c r="B61" s="3" t="inlineStr">
        <is>
          <t>Parts used — Westville Bike Share</t>
        </is>
      </c>
      <c r="D61" s="4" t="n">
        <v>-105</v>
      </c>
    </row>
    <row r="62">
      <c r="B62" s="3" t="inlineStr">
        <is>
          <t>Repair delivered — Ridgeline Trail Crew, billed net 15 (unpaid)</t>
        </is>
      </c>
      <c r="D62" s="4" t="n">
        <v>300</v>
      </c>
    </row>
    <row r="63">
      <c r="B63" s="3" t="inlineStr">
        <is>
          <t>Parts used — Ridgeline Trail Crew</t>
        </is>
      </c>
      <c r="D63" s="4" t="n">
        <v>-75</v>
      </c>
    </row>
    <row r="64">
      <c r="B64" s="3" t="inlineStr">
        <is>
          <t>Frame delivered — J. Smith (deposit earned)</t>
        </is>
      </c>
      <c r="D64" s="4" t="n">
        <v>220</v>
      </c>
    </row>
    <row r="65">
      <c r="B65" s="3" t="inlineStr">
        <is>
          <t>Parts used — J. Smith</t>
        </is>
      </c>
      <c r="D65" s="4" t="n">
        <v>-36</v>
      </c>
    </row>
    <row r="66">
      <c r="B66" s="3" t="inlineStr">
        <is>
          <t>Depreciation — tools, equipment &amp; fixtures, Summer 2026</t>
        </is>
      </c>
      <c r="D66" s="4" t="n">
        <v>-200</v>
      </c>
    </row>
    <row r="67">
      <c r="B67" s="3" t="inlineStr">
        <is>
          <t>Depreciation — laptop, Summer 2026</t>
        </is>
      </c>
      <c r="D67" s="4" t="n">
        <v>-30</v>
      </c>
    </row>
    <row r="68">
      <c r="B68" s="6" t="inlineStr">
        <is>
          <t>Balance, August 31, 2026</t>
        </is>
      </c>
      <c r="C68" s="10" t="n"/>
      <c r="D68" s="8">
        <f>D22+SUM(D23:D67)</f>
        <v/>
      </c>
    </row>
    <row r="70">
      <c r="B70" s="9" t="inlineStr">
        <is>
          <t>WITHDRAWN</t>
        </is>
      </c>
    </row>
    <row r="71">
      <c r="B71" s="3" t="inlineStr">
        <is>
          <t>Owner's draw — money taken out for personal use</t>
        </is>
      </c>
      <c r="D71" s="4" t="n">
        <v>-600</v>
      </c>
    </row>
    <row r="72">
      <c r="B72" s="6" t="inlineStr">
        <is>
          <t>Balance, August 31, 2026</t>
        </is>
      </c>
      <c r="C72" s="10" t="n"/>
      <c r="D72" s="8">
        <f>SUM(D71:D71)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9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B1" s="1" t="inlineStr">
        <is>
          <t>Statement of Members' Capital</t>
        </is>
      </c>
    </row>
    <row r="2">
      <c r="B2" s="2" t="inlineStr">
        <is>
          <t>For the period June 1 – August 31, 2026</t>
        </is>
      </c>
    </row>
    <row r="4">
      <c r="C4" s="11" t="inlineStr">
        <is>
          <t>Contributed</t>
        </is>
      </c>
      <c r="D4" s="11" t="inlineStr">
        <is>
          <t>Generated</t>
        </is>
      </c>
      <c r="E4" s="11" t="inlineStr">
        <is>
          <t>Withdrawn</t>
        </is>
      </c>
      <c r="F4" s="11" t="inlineStr">
        <is>
          <t>Total</t>
        </is>
      </c>
    </row>
    <row r="5">
      <c r="B5" s="3" t="inlineStr">
        <is>
          <t>Balance, June 1, 2026</t>
        </is>
      </c>
      <c r="C5" s="4">
        <f>'MC Current'!D9</f>
        <v/>
      </c>
      <c r="D5" s="4">
        <f>'MC Current'!D22</f>
        <v/>
      </c>
      <c r="E5" s="12" t="inlineStr">
        <is>
          <t>—</t>
        </is>
      </c>
      <c r="F5" s="4">
        <f>SUM(C5:E5)</f>
        <v/>
      </c>
    </row>
    <row r="6">
      <c r="B6" s="3" t="inlineStr">
        <is>
          <t>Add: Contributions</t>
        </is>
      </c>
      <c r="C6" s="12" t="inlineStr">
        <is>
          <t>—</t>
        </is>
      </c>
      <c r="D6" s="12" t="inlineStr">
        <is>
          <t>—</t>
        </is>
      </c>
      <c r="E6" s="12" t="inlineStr">
        <is>
          <t>—</t>
        </is>
      </c>
      <c r="F6" s="12" t="inlineStr">
        <is>
          <t>—</t>
        </is>
      </c>
    </row>
    <row r="7">
      <c r="B7" s="3" t="inlineStr">
        <is>
          <t>Add: Net income</t>
        </is>
      </c>
      <c r="C7" s="12" t="inlineStr">
        <is>
          <t>—</t>
        </is>
      </c>
      <c r="D7" s="4">
        <f>'IS Final'!D14</f>
        <v/>
      </c>
      <c r="E7" s="12" t="inlineStr">
        <is>
          <t>—</t>
        </is>
      </c>
      <c r="F7" s="4">
        <f>SUM(C7:E7)</f>
        <v/>
      </c>
    </row>
    <row r="8">
      <c r="B8" s="3" t="inlineStr">
        <is>
          <t>Less: Owner's draw</t>
        </is>
      </c>
      <c r="C8" s="12" t="inlineStr">
        <is>
          <t>—</t>
        </is>
      </c>
      <c r="D8" s="12" t="inlineStr">
        <is>
          <t>—</t>
        </is>
      </c>
      <c r="E8" s="4">
        <f>'MC Current'!D72</f>
        <v/>
      </c>
      <c r="F8" s="4">
        <f>SUM(C8:E8)</f>
        <v/>
      </c>
    </row>
    <row r="9">
      <c r="B9" s="6" t="inlineStr">
        <is>
          <t>Balance, August 31, 2026</t>
        </is>
      </c>
      <c r="C9" s="8">
        <f>SUM(C5:C8)</f>
        <v/>
      </c>
      <c r="D9" s="8">
        <f>SUM(D5:D8)</f>
        <v/>
      </c>
      <c r="E9" s="8">
        <f>SUM(E5:E8)</f>
        <v/>
      </c>
      <c r="F9" s="8">
        <f>SUM(C9:E9)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31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3" customWidth="1" min="3" max="3"/>
    <col width="14" customWidth="1" min="4" max="4"/>
  </cols>
  <sheetData>
    <row r="1">
      <c r="B1" s="1" t="inlineStr">
        <is>
          <t>Cash Flow Statement</t>
        </is>
      </c>
    </row>
    <row r="2">
      <c r="B2" s="2" t="inlineStr">
        <is>
          <t>For the period June 1 – August 31, 2026</t>
        </is>
      </c>
    </row>
    <row r="4">
      <c r="B4" s="3" t="inlineStr">
        <is>
          <t>Repair collected — Dana R.</t>
        </is>
      </c>
      <c r="D4" s="4" t="n">
        <v>120</v>
      </c>
    </row>
    <row r="5">
      <c r="B5" s="3" t="inlineStr">
        <is>
          <t>Repair collected — Marcus T.</t>
        </is>
      </c>
      <c r="D5" s="4" t="n">
        <v>150</v>
      </c>
    </row>
    <row r="6">
      <c r="B6" s="3" t="inlineStr">
        <is>
          <t>Repair collected — Priya S.</t>
        </is>
      </c>
      <c r="D6" s="4" t="n">
        <v>270</v>
      </c>
    </row>
    <row r="7">
      <c r="B7" s="3" t="inlineStr">
        <is>
          <t>Repair collected — Liam O.</t>
        </is>
      </c>
      <c r="D7" s="4" t="n">
        <v>300</v>
      </c>
    </row>
    <row r="8">
      <c r="B8" s="3" t="inlineStr">
        <is>
          <t>Repair collected — Sofia M.</t>
        </is>
      </c>
      <c r="D8" s="4" t="n">
        <v>150</v>
      </c>
    </row>
    <row r="9">
      <c r="B9" s="3" t="inlineStr">
        <is>
          <t>Repair collected — Jamal W.</t>
        </is>
      </c>
      <c r="D9" s="4" t="n">
        <v>360</v>
      </c>
    </row>
    <row r="10">
      <c r="B10" s="3" t="inlineStr">
        <is>
          <t>Repair collected — Erin K.</t>
        </is>
      </c>
      <c r="D10" s="4" t="n">
        <v>225</v>
      </c>
    </row>
    <row r="11">
      <c r="B11" s="3" t="inlineStr">
        <is>
          <t>Repair collected — Noah B.</t>
        </is>
      </c>
      <c r="D11" s="4" t="n">
        <v>210</v>
      </c>
    </row>
    <row r="12">
      <c r="B12" s="3" t="inlineStr">
        <is>
          <t>Repair collected — Grace L.</t>
        </is>
      </c>
      <c r="D12" s="4" t="n">
        <v>240</v>
      </c>
    </row>
    <row r="13">
      <c r="B13" s="3" t="inlineStr">
        <is>
          <t>Repair collected — Theo H.</t>
        </is>
      </c>
      <c r="D13" s="4" t="n">
        <v>240</v>
      </c>
    </row>
    <row r="14">
      <c r="B14" s="3" t="inlineStr">
        <is>
          <t>Repair collected — Maya P.</t>
        </is>
      </c>
      <c r="D14" s="4" t="n">
        <v>450</v>
      </c>
    </row>
    <row r="15">
      <c r="B15" s="3" t="inlineStr">
        <is>
          <t>Repair collected — Owen C.</t>
        </is>
      </c>
      <c r="D15" s="4" t="n">
        <v>360</v>
      </c>
    </row>
    <row r="16">
      <c r="B16" s="3" t="inlineStr">
        <is>
          <t>Repair collected — Ava D.</t>
        </is>
      </c>
      <c r="D16" s="4" t="n">
        <v>270</v>
      </c>
    </row>
    <row r="17">
      <c r="B17" s="3" t="inlineStr">
        <is>
          <t>Repair collected — Leo F.</t>
        </is>
      </c>
      <c r="D17" s="4" t="n">
        <v>240</v>
      </c>
    </row>
    <row r="18">
      <c r="B18" s="3" t="inlineStr">
        <is>
          <t>Repair collected — Nina V.</t>
        </is>
      </c>
      <c r="D18" s="4" t="n">
        <v>300</v>
      </c>
    </row>
    <row r="19">
      <c r="B19" s="3" t="inlineStr">
        <is>
          <t>Repair collected — Caleb G.</t>
        </is>
      </c>
      <c r="D19" s="4" t="n">
        <v>240</v>
      </c>
    </row>
    <row r="20">
      <c r="B20" s="3" t="inlineStr">
        <is>
          <t>Repair collected — Ruth A.</t>
        </is>
      </c>
      <c r="D20" s="4" t="n">
        <v>485</v>
      </c>
    </row>
    <row r="21">
      <c r="B21" s="3" t="inlineStr">
        <is>
          <t>Repair collected — Sam Q.</t>
        </is>
      </c>
      <c r="D21" s="4" t="n">
        <v>390</v>
      </c>
    </row>
    <row r="22">
      <c r="B22" s="3" t="inlineStr">
        <is>
          <t>Repair collected — Westville Bike Share</t>
        </is>
      </c>
      <c r="D22" s="4" t="n">
        <v>500</v>
      </c>
    </row>
    <row r="23">
      <c r="B23" s="3" t="inlineStr">
        <is>
          <t>Parts bought — June</t>
        </is>
      </c>
      <c r="D23" s="4" t="n">
        <v>-500</v>
      </c>
    </row>
    <row r="24">
      <c r="B24" s="3" t="inlineStr">
        <is>
          <t>Parts bought — July</t>
        </is>
      </c>
      <c r="D24" s="4" t="n">
        <v>-400</v>
      </c>
    </row>
    <row r="25">
      <c r="B25" s="3" t="inlineStr">
        <is>
          <t>Parts bought — August</t>
        </is>
      </c>
      <c r="D25" s="4" t="n">
        <v>-300</v>
      </c>
    </row>
    <row r="26">
      <c r="B26" s="3" t="inlineStr">
        <is>
          <t>Rent paid — June</t>
        </is>
      </c>
      <c r="D26" s="4" t="n">
        <v>-650</v>
      </c>
    </row>
    <row r="27">
      <c r="B27" s="3" t="inlineStr">
        <is>
          <t>Rent paid — July</t>
        </is>
      </c>
      <c r="D27" s="4" t="n">
        <v>-650</v>
      </c>
    </row>
    <row r="28">
      <c r="B28" s="3" t="inlineStr">
        <is>
          <t>Rent paid — August</t>
        </is>
      </c>
      <c r="D28" s="4" t="n">
        <v>-650</v>
      </c>
    </row>
    <row r="29">
      <c r="B29" s="3" t="inlineStr">
        <is>
          <t>New repair tool</t>
        </is>
      </c>
      <c r="D29" s="4" t="n">
        <v>-400</v>
      </c>
    </row>
    <row r="30">
      <c r="B30" s="3" t="inlineStr">
        <is>
          <t>Credit card paid off</t>
        </is>
      </c>
      <c r="D30" s="4" t="n">
        <v>-2030</v>
      </c>
    </row>
    <row r="31">
      <c r="B31" s="3" t="inlineStr">
        <is>
          <t>Money taken out for personal use</t>
        </is>
      </c>
      <c r="D31" s="4" t="n">
        <v>-600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21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3" customWidth="1" min="3" max="3"/>
    <col width="14" customWidth="1" min="4" max="4"/>
  </cols>
  <sheetData>
    <row r="1">
      <c r="B1" s="1" t="inlineStr">
        <is>
          <t>Cash Flow Statement</t>
        </is>
      </c>
    </row>
    <row r="2">
      <c r="B2" s="2" t="inlineStr">
        <is>
          <t>For the period June 1 – August 31, 2026</t>
        </is>
      </c>
    </row>
    <row r="4">
      <c r="B4" s="5" t="inlineStr">
        <is>
          <t>Operating activities</t>
        </is>
      </c>
      <c r="C4" s="5" t="n"/>
      <c r="D4" s="5" t="n"/>
    </row>
    <row r="5">
      <c r="B5" s="3" t="inlineStr">
        <is>
          <t>Collected from repair customers</t>
        </is>
      </c>
      <c r="D5" s="4">
        <f>SUMIF('CF Current'!D4:D31,"&gt;0")</f>
        <v/>
      </c>
    </row>
    <row r="6">
      <c r="B6" s="3" t="inlineStr">
        <is>
          <t>Parts purchased</t>
        </is>
      </c>
      <c r="D6" s="4">
        <f>SUMPRODUCT(--ISNUMBER(SEARCH("Parts bought",'CF Current'!B4:B31)),'CF Current'!D4:D31)</f>
        <v/>
      </c>
    </row>
    <row r="7">
      <c r="B7" s="3" t="inlineStr">
        <is>
          <t>Rent paid</t>
        </is>
      </c>
      <c r="D7" s="4">
        <f>SUMPRODUCT(--ISNUMBER(SEARCH("Rent paid",'CF Current'!B4:B31)),'CF Current'!D4:D31)</f>
        <v/>
      </c>
    </row>
    <row r="8">
      <c r="B8" s="6" t="inlineStr">
        <is>
          <t>Cash from operating activities</t>
        </is>
      </c>
      <c r="C8" s="7" t="n"/>
      <c r="D8" s="8">
        <f>SUM(D5:D7)</f>
        <v/>
      </c>
    </row>
    <row r="10">
      <c r="B10" s="5" t="inlineStr">
        <is>
          <t>Investing activities</t>
        </is>
      </c>
      <c r="C10" s="5" t="n"/>
      <c r="D10" s="5" t="n"/>
    </row>
    <row r="11">
      <c r="B11" s="3" t="inlineStr">
        <is>
          <t>Purchased repair tool</t>
        </is>
      </c>
      <c r="D11" s="4">
        <f>SUMPRODUCT(--ISNUMBER(SEARCH("New repair tool",'CF Current'!B4:B31)),'CF Current'!D4:D31)</f>
        <v/>
      </c>
    </row>
    <row r="12">
      <c r="B12" s="6" t="inlineStr">
        <is>
          <t>Cash used in investing activities</t>
        </is>
      </c>
      <c r="C12" s="7" t="n"/>
      <c r="D12" s="8">
        <f>SUM(D11:D11)</f>
        <v/>
      </c>
    </row>
    <row r="14">
      <c r="B14" s="5" t="inlineStr">
        <is>
          <t>Financing activities</t>
        </is>
      </c>
      <c r="C14" s="5" t="n"/>
      <c r="D14" s="5" t="n"/>
    </row>
    <row r="15">
      <c r="B15" s="3" t="inlineStr">
        <is>
          <t>Paid off credit card</t>
        </is>
      </c>
      <c r="D15" s="4">
        <f>SUMPRODUCT(--ISNUMBER(SEARCH("Credit card",'CF Current'!B4:B31)),'CF Current'!D4:D31)</f>
        <v/>
      </c>
    </row>
    <row r="16">
      <c r="B16" s="3" t="inlineStr">
        <is>
          <t>Owner's draw</t>
        </is>
      </c>
      <c r="D16" s="4">
        <f>SUMPRODUCT(--ISNUMBER(SEARCH("Money taken out",'CF Current'!B4:B31)),'CF Current'!D4:D31)</f>
        <v/>
      </c>
    </row>
    <row r="17">
      <c r="B17" s="6" t="inlineStr">
        <is>
          <t>Cash used in financing activities</t>
        </is>
      </c>
      <c r="C17" s="7" t="n"/>
      <c r="D17" s="8">
        <f>SUM(D15:D16)</f>
        <v/>
      </c>
    </row>
    <row r="19">
      <c r="B19" s="6" t="inlineStr">
        <is>
          <t>Net change in cash</t>
        </is>
      </c>
      <c r="C19" s="7" t="n"/>
      <c r="D19" s="8">
        <f>D8+D12+D17</f>
        <v/>
      </c>
    </row>
    <row r="20">
      <c r="B20" s="3" t="inlineStr">
        <is>
          <t>Cash, June 1, 2026</t>
        </is>
      </c>
      <c r="D20" s="4" t="n">
        <v>1300</v>
      </c>
    </row>
    <row r="21">
      <c r="B21" s="6" t="inlineStr">
        <is>
          <t>Cash, August 31, 2026</t>
        </is>
      </c>
      <c r="C21" s="7" t="n"/>
      <c r="D21" s="8">
        <f>D20+D19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2026-07-13T18:37:55Z</dcterms:created>
  <dcterms:modified xsi:type="dcterms:W3CDTF">2026-07-13T18:37:55Z</dcterms:modified>
</cp:coreProperties>
</file>