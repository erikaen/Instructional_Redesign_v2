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ra1/Courses-Local/Instructional_Redesign_v2/"/>
    </mc:Choice>
  </mc:AlternateContent>
  <xr:revisionPtr revIDLastSave="0" documentId="13_ncr:1_{3B415895-87BF-A543-AF52-2ED5ABD830EC}" xr6:coauthVersionLast="47" xr6:coauthVersionMax="47" xr10:uidLastSave="{00000000-0000-0000-0000-000000000000}"/>
  <bookViews>
    <workbookView xWindow="1500" yWindow="600" windowWidth="37340" windowHeight="27720" activeTab="2" xr2:uid="{00000000-000D-0000-FFFF-FFFF00000000}"/>
  </bookViews>
  <sheets>
    <sheet name="Assets" sheetId="1" r:id="rId1"/>
    <sheet name="Liabilities" sheetId="2" r:id="rId2"/>
    <sheet name="Reasons" sheetId="3" r:id="rId3"/>
    <sheet name="Balance Sheet" sheetId="4" r:id="rId4"/>
    <sheet name="Income Statement" sheetId="5" r:id="rId5"/>
    <sheet name="St_Members_Capital" sheetId="8" r:id="rId6"/>
    <sheet name="Cash_Flow_Statement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8" l="1"/>
  <c r="D21" i="8"/>
  <c r="D67" i="8" s="1"/>
  <c r="D8" i="8"/>
  <c r="D9" i="8" s="1"/>
  <c r="D70" i="3"/>
  <c r="D19" i="4" s="1"/>
  <c r="D20" i="3"/>
  <c r="D66" i="3" s="1"/>
  <c r="D18" i="4" s="1"/>
  <c r="D7" i="3"/>
  <c r="D8" i="3" s="1"/>
  <c r="D15" i="2"/>
  <c r="C14" i="4" s="1"/>
  <c r="D9" i="2"/>
  <c r="C13" i="4" s="1"/>
  <c r="D130" i="1"/>
  <c r="C10" i="4" s="1"/>
  <c r="D124" i="1"/>
  <c r="D126" i="1" s="1"/>
  <c r="D9" i="4" s="1"/>
  <c r="D114" i="1"/>
  <c r="C8" i="4" s="1"/>
  <c r="D63" i="1"/>
  <c r="D98" i="1" s="1"/>
  <c r="D7" i="4" s="1"/>
  <c r="D52" i="1"/>
  <c r="C6" i="4" s="1"/>
  <c r="D48" i="1"/>
  <c r="D5" i="4" s="1"/>
  <c r="D15" i="1"/>
  <c r="D44" i="1" s="1"/>
  <c r="D4" i="4" s="1"/>
  <c r="C15" i="4" l="1"/>
  <c r="C17" i="4"/>
  <c r="D11" i="2"/>
  <c r="D13" i="4" s="1"/>
  <c r="D132" i="1"/>
  <c r="D10" i="4" s="1"/>
  <c r="C9" i="4"/>
  <c r="C18" i="4"/>
  <c r="C4" i="4"/>
  <c r="D17" i="4"/>
  <c r="D20" i="4" s="1"/>
  <c r="C7" i="4"/>
  <c r="D17" i="2"/>
  <c r="D14" i="4" s="1"/>
  <c r="D117" i="1"/>
  <c r="D8" i="4" s="1"/>
  <c r="D53" i="1"/>
  <c r="D6" i="4" s="1"/>
  <c r="D11" i="4" l="1"/>
  <c r="C20" i="4"/>
  <c r="D15" i="4"/>
  <c r="C11" i="4"/>
</calcChain>
</file>

<file path=xl/sharedStrings.xml><?xml version="1.0" encoding="utf-8"?>
<sst xmlns="http://schemas.openxmlformats.org/spreadsheetml/2006/main" count="376" uniqueCount="158">
  <si>
    <t>Assets</t>
  </si>
  <si>
    <t>Cash</t>
  </si>
  <si>
    <t>Rent paid in advance (the lease)</t>
  </si>
  <si>
    <t>Park Tool repair stand</t>
  </si>
  <si>
    <t>Repair, customer paid</t>
  </si>
  <si>
    <t>Smith's deposit received</t>
  </si>
  <si>
    <t>Covered from your personal funds</t>
  </si>
  <si>
    <t>Deposited to open the LLC bank account</t>
  </si>
  <si>
    <t>Balance, June 1, 2026</t>
  </si>
  <si>
    <t>Repair collected — Dana R.</t>
  </si>
  <si>
    <t>Repair collected — Marcus T.</t>
  </si>
  <si>
    <t>Repair collected — Priya S.</t>
  </si>
  <si>
    <t>Repair collected — Liam O.</t>
  </si>
  <si>
    <t>Repair collected — Sofia M.</t>
  </si>
  <si>
    <t>Repair collected — Jamal W.</t>
  </si>
  <si>
    <t>Repair collected — Erin K.</t>
  </si>
  <si>
    <t>Repair collected — Noah B.</t>
  </si>
  <si>
    <t>Repair collected — Grace L.</t>
  </si>
  <si>
    <t>Repair collected — Theo H.</t>
  </si>
  <si>
    <t>Repair collected — Maya P.</t>
  </si>
  <si>
    <t>Repair collected — Owen C.</t>
  </si>
  <si>
    <t>Repair collected — Ava D.</t>
  </si>
  <si>
    <t>Repair collected — Leo F.</t>
  </si>
  <si>
    <t>Repair collected — Nina V.</t>
  </si>
  <si>
    <t>Repair collected — Caleb G.</t>
  </si>
  <si>
    <t>Repair collected — Ruth A.</t>
  </si>
  <si>
    <t>Repair collected — Sam Q.</t>
  </si>
  <si>
    <t>Repair collected — Westville Bike Share</t>
  </si>
  <si>
    <t>Parts bought — June</t>
  </si>
  <si>
    <t>Parts bought — July</t>
  </si>
  <si>
    <t>Parts bought — August</t>
  </si>
  <si>
    <t>Rent paid — June</t>
  </si>
  <si>
    <t>Rent paid — July</t>
  </si>
  <si>
    <t>Rent paid — August</t>
  </si>
  <si>
    <t>New repair tool</t>
  </si>
  <si>
    <t>Credit card paid off</t>
  </si>
  <si>
    <t>Money taken out for personal use</t>
  </si>
  <si>
    <t>Balance, August 31, 2026</t>
  </si>
  <si>
    <t>Accounts Receivable</t>
  </si>
  <si>
    <t>Ridgeline Trail Crew — finished Aug 28, net 15 (unpaid)</t>
  </si>
  <si>
    <t>Right of Use</t>
  </si>
  <si>
    <t>Last month's rent, paid in advance (on deposit)</t>
  </si>
  <si>
    <t>Parts</t>
  </si>
  <si>
    <t>Chains</t>
  </si>
  <si>
    <t>Brake pads</t>
  </si>
  <si>
    <t>Derailleur cables</t>
  </si>
  <si>
    <t>Cassettes</t>
  </si>
  <si>
    <t>Bottom brackets</t>
  </si>
  <si>
    <t>Spokes</t>
  </si>
  <si>
    <t>Tubes</t>
  </si>
  <si>
    <t>Chains ×10 (June)</t>
  </si>
  <si>
    <t>11-spd cassettes ×4 (June)</t>
  </si>
  <si>
    <t>Brake pad sets ×12 (June)</t>
  </si>
  <si>
    <t>Cables + housing (assorted) (June)</t>
  </si>
  <si>
    <t>Tubes ×10 (June)</t>
  </si>
  <si>
    <t>Chainrings + jockey wheels (July)</t>
  </si>
  <si>
    <t>Bottom brackets ×3 (July)</t>
  </si>
  <si>
    <t>Shift cables + housing (July)</t>
  </si>
  <si>
    <t>Tubeless sealant + valves (July)</t>
  </si>
  <si>
    <t>Spokes + nipples (July)</t>
  </si>
  <si>
    <t>Tires ×4 (August)</t>
  </si>
  <si>
    <t>Brake pads (assorted) (August)</t>
  </si>
  <si>
    <t>Cables + housing (August)</t>
  </si>
  <si>
    <t>Tubes ×8 (August)</t>
  </si>
  <si>
    <t>Small parts (bolts, tape) (August)</t>
  </si>
  <si>
    <t>Parts used — Dana R.</t>
  </si>
  <si>
    <t>Parts used — Priya S.</t>
  </si>
  <si>
    <t>Parts used — Liam O.</t>
  </si>
  <si>
    <t>Parts used — Jamal W.</t>
  </si>
  <si>
    <t>Parts used — Erin K.</t>
  </si>
  <si>
    <t>Parts used — Noah B.</t>
  </si>
  <si>
    <t>Parts used — Grace L.</t>
  </si>
  <si>
    <t>Parts used — Theo H.</t>
  </si>
  <si>
    <t>Parts used — Maya P.</t>
  </si>
  <si>
    <t>Parts used — Owen C.</t>
  </si>
  <si>
    <t>Parts used — Ava D.</t>
  </si>
  <si>
    <t>Parts used — Leo F.</t>
  </si>
  <si>
    <t>Parts used — Nina V.</t>
  </si>
  <si>
    <t>Parts used — Caleb G.</t>
  </si>
  <si>
    <t>Parts used — Ruth A.</t>
  </si>
  <si>
    <t>Parts used — Sam Q.</t>
  </si>
  <si>
    <t>Parts used — Westville Bike Share</t>
  </si>
  <si>
    <t>Parts used — Ridgeline Trail Crew</t>
  </si>
  <si>
    <t>Parts used — J. Smith</t>
  </si>
  <si>
    <t>Tools &amp; Repair Equipment</t>
  </si>
  <si>
    <t>Repair stand</t>
  </si>
  <si>
    <t>Air compressor</t>
  </si>
  <si>
    <t>Parts washer</t>
  </si>
  <si>
    <t>Wheel-truing stand</t>
  </si>
  <si>
    <t>Cone wrench set</t>
  </si>
  <si>
    <t>Torque wrench</t>
  </si>
  <si>
    <t>Hex/Allen set</t>
  </si>
  <si>
    <t>Cable cutters</t>
  </si>
  <si>
    <t>Chain breaker</t>
  </si>
  <si>
    <t>Tire levers</t>
  </si>
  <si>
    <t>Bench grinder</t>
  </si>
  <si>
    <t>Headset press</t>
  </si>
  <si>
    <t>Shop vacuum</t>
  </si>
  <si>
    <t>New repair tool bought this season</t>
  </si>
  <si>
    <t>Depreciation — Summer 2026 (the season's share of the cost)</t>
  </si>
  <si>
    <t>Fixtures</t>
  </si>
  <si>
    <t>Desk</t>
  </si>
  <si>
    <t>Shelving units</t>
  </si>
  <si>
    <t>Display rack</t>
  </si>
  <si>
    <t>Pegboard + hooks</t>
  </si>
  <si>
    <t>Laptop</t>
  </si>
  <si>
    <t>Laptop (from home)</t>
  </si>
  <si>
    <t>Liabilities</t>
  </si>
  <si>
    <t>Credit Card</t>
  </si>
  <si>
    <t>Charged — hand tools</t>
  </si>
  <si>
    <t>Charged — air compressor</t>
  </si>
  <si>
    <t>Charged — parts washer</t>
  </si>
  <si>
    <t>Charged — wheel-truing stand</t>
  </si>
  <si>
    <t>Charged — fixtures</t>
  </si>
  <si>
    <t>Charged — parts (QBP order)</t>
  </si>
  <si>
    <t>Paid off in full this season</t>
  </si>
  <si>
    <t>Customer Deposit</t>
  </si>
  <si>
    <t>Smith's advance for a custom frame</t>
  </si>
  <si>
    <t>Built and delivered Smith's frame — no longer owed</t>
  </si>
  <si>
    <t>Reasons — Members' Capital</t>
  </si>
  <si>
    <t>CONTRIBUTED</t>
  </si>
  <si>
    <t>Cash — covered from your personal funds (May)</t>
  </si>
  <si>
    <t>Laptop — brought from home (May)</t>
  </si>
  <si>
    <t>Equipment — gear from home — grinder, headset press, shop vacuum (May)</t>
  </si>
  <si>
    <t>Cash — deposited to open the LLC bank account (June 1)</t>
  </si>
  <si>
    <t>GENERATED</t>
  </si>
  <si>
    <t>Repair collected — Brake job + Tune-up + Tire mounting ×2 @ $70</t>
  </si>
  <si>
    <t>Repair collected — Walk-ins — mixed work (no itemized detail)</t>
  </si>
  <si>
    <t>Repair collected — Tune-up</t>
  </si>
  <si>
    <t>Repair collected — Brake overhaul</t>
  </si>
  <si>
    <t>Repair collected — Chain + cassette replacement</t>
  </si>
  <si>
    <t>Repair collected — Tune-up + minor repair</t>
  </si>
  <si>
    <t>Repair collected — Custom wheel work + new spokes</t>
  </si>
  <si>
    <t>Parts used — May</t>
  </si>
  <si>
    <t>Rent used — May</t>
  </si>
  <si>
    <t>Rent used — June</t>
  </si>
  <si>
    <t>Rent used — July</t>
  </si>
  <si>
    <t>Rent used — August</t>
  </si>
  <si>
    <t>Repair delivered — Ridgeline Trail Crew, billed net 15 (unpaid)</t>
  </si>
  <si>
    <t>Frame delivered — J. Smith (deposit earned)</t>
  </si>
  <si>
    <t>Depreciation — tools, equipment &amp; fixtures, Summer 2026</t>
  </si>
  <si>
    <t>Depreciation — laptop, Summer 2026</t>
  </si>
  <si>
    <t>WITHDRAWN</t>
  </si>
  <si>
    <t>Owner's draw — money taken out for personal use</t>
  </si>
  <si>
    <t>Balance Sheet</t>
  </si>
  <si>
    <t>June 1, 2026</t>
  </si>
  <si>
    <t>August 31, 2026</t>
  </si>
  <si>
    <t>—</t>
  </si>
  <si>
    <t>Total Assets</t>
  </si>
  <si>
    <t>Total Liabilities</t>
  </si>
  <si>
    <t>Members' Capital</t>
  </si>
  <si>
    <t>Contributed</t>
  </si>
  <si>
    <t>Generated</t>
  </si>
  <si>
    <t>Withdrawn</t>
  </si>
  <si>
    <t>Total Members' Capital</t>
  </si>
  <si>
    <t>Income Statement</t>
  </si>
  <si>
    <t>Statement of Member's Capital</t>
  </si>
  <si>
    <t>Cash Flow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</si>
</sst>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indent="2"/>
    </xf>
    <xf numFmtId="164" fontId="0" fillId="0" borderId="0" xfId="0" applyNumberFormat="1"/>
    <xf numFmtId="164" fontId="2" fillId="0" borderId="0" xfId="0" applyNumberFormat="1" applyFont="1"/>
    <xf numFmtId="0" fontId="2" fillId="2" borderId="0" xfId="0" applyFont="1" applyFill="1"/>
    <xf numFmtId="0" fontId="0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2" fillId="3" borderId="0" xfId="0" applyFont="1" applyFill="1"/>
    <xf numFmtId="0" fontId="2" fillId="4" borderId="0" xfId="0" applyFont="1" applyFill="1"/>
    <xf numFmtId="0" fontId="0" fillId="2" borderId="0" xfId="0" applyFill="1"/>
    <xf numFmtId="0" fontId="0" fillId="0" borderId="0" xfId="0" applyFill="1" applyAlignment="1">
      <alignment indent="2"/>
    </xf>
    <xf numFmtId="0" fontId="2" fillId="0" borderId="1" xfId="0" applyFont="1" applyBorder="1" applyAlignment="1">
      <alignment horizontal="center"/>
    </xf>
    <xf numFmtId="164" fontId="2" fillId="4" borderId="2" xfId="0" applyNumberFormat="1" applyFont="1" applyFill="1" applyBorder="1"/>
    <xf numFmtId="0" fontId="0" fillId="3" borderId="0" xfId="0" applyFill="1"/>
    <xf numFmtId="164" fontId="0" fillId="0" borderId="1" xfId="0" applyNumberFormat="1" applyBorder="1"/>
    <xf numFmtId="0" fontId="3" fillId="4" borderId="2" xfId="0" applyFont="1" applyFill="1" applyBorder="1" applyAlignment="1">
      <alignment horizontal="left" indent="1"/>
    </xf>
    <xf numFmtId="0" fontId="0" fillId="4" borderId="2" xfId="0" applyFill="1" applyBorder="1"/>
    <xf numFmtId="0" fontId="0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63EB"/>
  </sheetPr>
  <dimension ref="B1:D132"/>
  <sheetViews>
    <sheetView zoomScale="214" zoomScaleNormal="214" workbookViewId="0">
      <selection activeCell="B16" sqref="B16:D43"/>
    </sheetView>
  </sheetViews>
  <sheetFormatPr baseColWidth="10" defaultColWidth="8.83203125" defaultRowHeight="15" outlineLevelRow="1" x14ac:dyDescent="0.2"/>
  <cols>
    <col min="1" max="1" width="2" customWidth="1"/>
    <col min="2" max="2" width="50" customWidth="1"/>
    <col min="3" max="3" width="3" customWidth="1"/>
    <col min="4" max="4" width="14" customWidth="1"/>
  </cols>
  <sheetData>
    <row r="1" spans="2:4" ht="19" x14ac:dyDescent="0.25">
      <c r="B1" s="1" t="s">
        <v>0</v>
      </c>
    </row>
    <row r="2" spans="2:4" x14ac:dyDescent="0.2">
      <c r="B2" s="6" t="s">
        <v>1</v>
      </c>
      <c r="C2" s="12"/>
      <c r="D2" s="12"/>
    </row>
    <row r="3" spans="2:4" hidden="1" outlineLevel="1" x14ac:dyDescent="0.2">
      <c r="B3" s="3" t="s">
        <v>2</v>
      </c>
      <c r="D3" s="4">
        <v>-1300</v>
      </c>
    </row>
    <row r="4" spans="2:4" hidden="1" outlineLevel="1" x14ac:dyDescent="0.2">
      <c r="B4" s="3" t="s">
        <v>3</v>
      </c>
      <c r="D4" s="4">
        <v>-200</v>
      </c>
    </row>
    <row r="5" spans="2:4" hidden="1" outlineLevel="1" x14ac:dyDescent="0.2">
      <c r="B5" s="3" t="s">
        <v>4</v>
      </c>
      <c r="D5" s="4">
        <v>340</v>
      </c>
    </row>
    <row r="6" spans="2:4" hidden="1" outlineLevel="1" x14ac:dyDescent="0.2">
      <c r="B6" s="3" t="s">
        <v>4</v>
      </c>
      <c r="D6" s="4">
        <v>180</v>
      </c>
    </row>
    <row r="7" spans="2:4" hidden="1" outlineLevel="1" x14ac:dyDescent="0.2">
      <c r="B7" s="3" t="s">
        <v>4</v>
      </c>
      <c r="D7" s="4">
        <v>80</v>
      </c>
    </row>
    <row r="8" spans="2:4" hidden="1" outlineLevel="1" x14ac:dyDescent="0.2">
      <c r="B8" s="3" t="s">
        <v>4</v>
      </c>
      <c r="D8" s="4">
        <v>140</v>
      </c>
    </row>
    <row r="9" spans="2:4" hidden="1" outlineLevel="1" x14ac:dyDescent="0.2">
      <c r="B9" s="3" t="s">
        <v>4</v>
      </c>
      <c r="D9" s="4">
        <v>130</v>
      </c>
    </row>
    <row r="10" spans="2:4" hidden="1" outlineLevel="1" x14ac:dyDescent="0.2">
      <c r="B10" s="3" t="s">
        <v>5</v>
      </c>
      <c r="D10" s="4">
        <v>220</v>
      </c>
    </row>
    <row r="11" spans="2:4" hidden="1" outlineLevel="1" x14ac:dyDescent="0.2">
      <c r="B11" s="3" t="s">
        <v>4</v>
      </c>
      <c r="D11" s="4">
        <v>100</v>
      </c>
    </row>
    <row r="12" spans="2:4" hidden="1" outlineLevel="1" x14ac:dyDescent="0.2">
      <c r="B12" s="3" t="s">
        <v>4</v>
      </c>
      <c r="D12" s="4">
        <v>150</v>
      </c>
    </row>
    <row r="13" spans="2:4" hidden="1" outlineLevel="1" x14ac:dyDescent="0.2">
      <c r="B13" s="3" t="s">
        <v>6</v>
      </c>
      <c r="D13" s="4">
        <v>160</v>
      </c>
    </row>
    <row r="14" spans="2:4" hidden="1" outlineLevel="1" x14ac:dyDescent="0.2">
      <c r="B14" s="3" t="s">
        <v>7</v>
      </c>
      <c r="D14" s="17">
        <v>1300</v>
      </c>
    </row>
    <row r="15" spans="2:4" collapsed="1" x14ac:dyDescent="0.2">
      <c r="B15" s="18" t="s">
        <v>8</v>
      </c>
      <c r="C15" s="19"/>
      <c r="D15" s="15">
        <f>SUM(D3:D14)</f>
        <v>1300</v>
      </c>
    </row>
    <row r="16" spans="2:4" outlineLevel="1" x14ac:dyDescent="0.2">
      <c r="B16" s="7" t="s">
        <v>9</v>
      </c>
      <c r="D16" s="4">
        <v>120</v>
      </c>
    </row>
    <row r="17" spans="2:4" outlineLevel="1" x14ac:dyDescent="0.2">
      <c r="B17" s="7" t="s">
        <v>10</v>
      </c>
      <c r="D17" s="4">
        <v>150</v>
      </c>
    </row>
    <row r="18" spans="2:4" outlineLevel="1" x14ac:dyDescent="0.2">
      <c r="B18" s="7" t="s">
        <v>11</v>
      </c>
      <c r="D18" s="4">
        <v>270</v>
      </c>
    </row>
    <row r="19" spans="2:4" outlineLevel="1" x14ac:dyDescent="0.2">
      <c r="B19" s="7" t="s">
        <v>12</v>
      </c>
      <c r="D19" s="4">
        <v>300</v>
      </c>
    </row>
    <row r="20" spans="2:4" outlineLevel="1" x14ac:dyDescent="0.2">
      <c r="B20" s="7" t="s">
        <v>13</v>
      </c>
      <c r="D20" s="4">
        <v>150</v>
      </c>
    </row>
    <row r="21" spans="2:4" outlineLevel="1" x14ac:dyDescent="0.2">
      <c r="B21" s="7" t="s">
        <v>14</v>
      </c>
      <c r="D21" s="4">
        <v>360</v>
      </c>
    </row>
    <row r="22" spans="2:4" outlineLevel="1" x14ac:dyDescent="0.2">
      <c r="B22" s="7" t="s">
        <v>15</v>
      </c>
      <c r="D22" s="4">
        <v>225</v>
      </c>
    </row>
    <row r="23" spans="2:4" outlineLevel="1" x14ac:dyDescent="0.2">
      <c r="B23" s="7" t="s">
        <v>16</v>
      </c>
      <c r="D23" s="4">
        <v>210</v>
      </c>
    </row>
    <row r="24" spans="2:4" outlineLevel="1" x14ac:dyDescent="0.2">
      <c r="B24" s="7" t="s">
        <v>17</v>
      </c>
      <c r="D24" s="4">
        <v>240</v>
      </c>
    </row>
    <row r="25" spans="2:4" outlineLevel="1" x14ac:dyDescent="0.2">
      <c r="B25" s="7" t="s">
        <v>18</v>
      </c>
      <c r="D25" s="4">
        <v>240</v>
      </c>
    </row>
    <row r="26" spans="2:4" outlineLevel="1" x14ac:dyDescent="0.2">
      <c r="B26" s="7" t="s">
        <v>19</v>
      </c>
      <c r="D26" s="4">
        <v>450</v>
      </c>
    </row>
    <row r="27" spans="2:4" outlineLevel="1" x14ac:dyDescent="0.2">
      <c r="B27" s="7" t="s">
        <v>20</v>
      </c>
      <c r="D27" s="4">
        <v>360</v>
      </c>
    </row>
    <row r="28" spans="2:4" outlineLevel="1" x14ac:dyDescent="0.2">
      <c r="B28" s="7" t="s">
        <v>21</v>
      </c>
      <c r="D28" s="4">
        <v>270</v>
      </c>
    </row>
    <row r="29" spans="2:4" outlineLevel="1" x14ac:dyDescent="0.2">
      <c r="B29" s="7" t="s">
        <v>22</v>
      </c>
      <c r="D29" s="4">
        <v>240</v>
      </c>
    </row>
    <row r="30" spans="2:4" outlineLevel="1" x14ac:dyDescent="0.2">
      <c r="B30" s="7" t="s">
        <v>23</v>
      </c>
      <c r="D30" s="4">
        <v>300</v>
      </c>
    </row>
    <row r="31" spans="2:4" outlineLevel="1" x14ac:dyDescent="0.2">
      <c r="B31" s="7" t="s">
        <v>24</v>
      </c>
      <c r="D31" s="4">
        <v>240</v>
      </c>
    </row>
    <row r="32" spans="2:4" outlineLevel="1" x14ac:dyDescent="0.2">
      <c r="B32" s="7" t="s">
        <v>25</v>
      </c>
      <c r="D32" s="4">
        <v>485</v>
      </c>
    </row>
    <row r="33" spans="2:4" outlineLevel="1" x14ac:dyDescent="0.2">
      <c r="B33" s="7" t="s">
        <v>26</v>
      </c>
      <c r="D33" s="4">
        <v>390</v>
      </c>
    </row>
    <row r="34" spans="2:4" outlineLevel="1" x14ac:dyDescent="0.2">
      <c r="B34" s="7" t="s">
        <v>27</v>
      </c>
      <c r="D34" s="4">
        <v>500</v>
      </c>
    </row>
    <row r="35" spans="2:4" outlineLevel="1" x14ac:dyDescent="0.2">
      <c r="B35" s="7" t="s">
        <v>28</v>
      </c>
      <c r="D35" s="4">
        <v>-500</v>
      </c>
    </row>
    <row r="36" spans="2:4" outlineLevel="1" x14ac:dyDescent="0.2">
      <c r="B36" s="7" t="s">
        <v>29</v>
      </c>
      <c r="D36" s="4">
        <v>-400</v>
      </c>
    </row>
    <row r="37" spans="2:4" outlineLevel="1" x14ac:dyDescent="0.2">
      <c r="B37" s="7" t="s">
        <v>30</v>
      </c>
      <c r="D37" s="4">
        <v>-300</v>
      </c>
    </row>
    <row r="38" spans="2:4" outlineLevel="1" x14ac:dyDescent="0.2">
      <c r="B38" s="7" t="s">
        <v>31</v>
      </c>
      <c r="D38" s="4">
        <v>-650</v>
      </c>
    </row>
    <row r="39" spans="2:4" outlineLevel="1" x14ac:dyDescent="0.2">
      <c r="B39" s="7" t="s">
        <v>32</v>
      </c>
      <c r="D39" s="4">
        <v>-650</v>
      </c>
    </row>
    <row r="40" spans="2:4" outlineLevel="1" x14ac:dyDescent="0.2">
      <c r="B40" s="7" t="s">
        <v>33</v>
      </c>
      <c r="D40" s="4">
        <v>-650</v>
      </c>
    </row>
    <row r="41" spans="2:4" outlineLevel="1" x14ac:dyDescent="0.2">
      <c r="B41" s="7" t="s">
        <v>34</v>
      </c>
      <c r="D41" s="4">
        <v>-400</v>
      </c>
    </row>
    <row r="42" spans="2:4" outlineLevel="1" x14ac:dyDescent="0.2">
      <c r="B42" s="7" t="s">
        <v>35</v>
      </c>
      <c r="D42" s="4">
        <v>-2030</v>
      </c>
    </row>
    <row r="43" spans="2:4" outlineLevel="1" x14ac:dyDescent="0.2">
      <c r="B43" s="7" t="s">
        <v>36</v>
      </c>
      <c r="D43" s="4">
        <v>-600</v>
      </c>
    </row>
    <row r="44" spans="2:4" x14ac:dyDescent="0.2">
      <c r="B44" s="18" t="s">
        <v>37</v>
      </c>
      <c r="C44" s="19"/>
      <c r="D44" s="15">
        <f>D15+SUM(D16:D43)</f>
        <v>620</v>
      </c>
    </row>
    <row r="46" spans="2:4" x14ac:dyDescent="0.2">
      <c r="B46" s="6" t="s">
        <v>38</v>
      </c>
      <c r="C46" s="12"/>
      <c r="D46" s="12"/>
    </row>
    <row r="47" spans="2:4" hidden="1" outlineLevel="1" x14ac:dyDescent="0.2">
      <c r="B47" s="3" t="s">
        <v>39</v>
      </c>
      <c r="D47" s="4">
        <v>300</v>
      </c>
    </row>
    <row r="48" spans="2:4" collapsed="1" x14ac:dyDescent="0.2">
      <c r="B48" s="18" t="s">
        <v>37</v>
      </c>
      <c r="C48" s="19"/>
      <c r="D48" s="15">
        <f>SUM(D47:D47)</f>
        <v>300</v>
      </c>
    </row>
    <row r="50" spans="2:4" x14ac:dyDescent="0.2">
      <c r="B50" s="6" t="s">
        <v>40</v>
      </c>
      <c r="C50" s="12"/>
      <c r="D50" s="12"/>
    </row>
    <row r="51" spans="2:4" hidden="1" outlineLevel="1" x14ac:dyDescent="0.2">
      <c r="B51" s="3" t="s">
        <v>41</v>
      </c>
      <c r="D51" s="4">
        <v>650</v>
      </c>
    </row>
    <row r="52" spans="2:4" collapsed="1" x14ac:dyDescent="0.2">
      <c r="B52" s="18" t="s">
        <v>8</v>
      </c>
      <c r="C52" s="19"/>
      <c r="D52" s="15">
        <f>SUM(D51:D51)</f>
        <v>650</v>
      </c>
    </row>
    <row r="53" spans="2:4" x14ac:dyDescent="0.2">
      <c r="B53" s="18" t="s">
        <v>37</v>
      </c>
      <c r="C53" s="19"/>
      <c r="D53" s="15">
        <f>D52</f>
        <v>650</v>
      </c>
    </row>
    <row r="55" spans="2:4" x14ac:dyDescent="0.2">
      <c r="B55" s="6" t="s">
        <v>42</v>
      </c>
      <c r="C55" s="12"/>
      <c r="D55" s="12"/>
    </row>
    <row r="56" spans="2:4" hidden="1" outlineLevel="1" x14ac:dyDescent="0.2">
      <c r="B56" s="3" t="s">
        <v>43</v>
      </c>
      <c r="D56" s="4">
        <v>50</v>
      </c>
    </row>
    <row r="57" spans="2:4" hidden="1" outlineLevel="1" x14ac:dyDescent="0.2">
      <c r="B57" s="3" t="s">
        <v>44</v>
      </c>
      <c r="D57" s="4">
        <v>40</v>
      </c>
    </row>
    <row r="58" spans="2:4" hidden="1" outlineLevel="1" x14ac:dyDescent="0.2">
      <c r="B58" s="3" t="s">
        <v>45</v>
      </c>
      <c r="D58" s="4">
        <v>20</v>
      </c>
    </row>
    <row r="59" spans="2:4" hidden="1" outlineLevel="1" x14ac:dyDescent="0.2">
      <c r="B59" s="3" t="s">
        <v>46</v>
      </c>
      <c r="D59" s="4">
        <v>40</v>
      </c>
    </row>
    <row r="60" spans="2:4" hidden="1" outlineLevel="1" x14ac:dyDescent="0.2">
      <c r="B60" s="3" t="s">
        <v>47</v>
      </c>
      <c r="D60" s="4">
        <v>20</v>
      </c>
    </row>
    <row r="61" spans="2:4" hidden="1" outlineLevel="1" x14ac:dyDescent="0.2">
      <c r="B61" s="3" t="s">
        <v>48</v>
      </c>
      <c r="D61" s="4">
        <v>20</v>
      </c>
    </row>
    <row r="62" spans="2:4" hidden="1" outlineLevel="1" x14ac:dyDescent="0.2">
      <c r="B62" s="3" t="s">
        <v>49</v>
      </c>
      <c r="D62" s="4">
        <v>10</v>
      </c>
    </row>
    <row r="63" spans="2:4" collapsed="1" x14ac:dyDescent="0.2">
      <c r="B63" s="18" t="s">
        <v>8</v>
      </c>
      <c r="C63" s="19"/>
      <c r="D63" s="15">
        <f>SUM(D56:D62)</f>
        <v>200</v>
      </c>
    </row>
    <row r="64" spans="2:4" hidden="1" outlineLevel="1" x14ac:dyDescent="0.2">
      <c r="B64" s="3" t="s">
        <v>50</v>
      </c>
      <c r="D64" s="4">
        <v>150</v>
      </c>
    </row>
    <row r="65" spans="2:4" hidden="1" outlineLevel="1" x14ac:dyDescent="0.2">
      <c r="B65" s="3" t="s">
        <v>51</v>
      </c>
      <c r="D65" s="4">
        <v>160</v>
      </c>
    </row>
    <row r="66" spans="2:4" hidden="1" outlineLevel="1" x14ac:dyDescent="0.2">
      <c r="B66" s="3" t="s">
        <v>52</v>
      </c>
      <c r="D66" s="4">
        <v>90</v>
      </c>
    </row>
    <row r="67" spans="2:4" hidden="1" outlineLevel="1" x14ac:dyDescent="0.2">
      <c r="B67" s="3" t="s">
        <v>53</v>
      </c>
      <c r="D67" s="4">
        <v>60</v>
      </c>
    </row>
    <row r="68" spans="2:4" hidden="1" outlineLevel="1" x14ac:dyDescent="0.2">
      <c r="B68" s="3" t="s">
        <v>54</v>
      </c>
      <c r="D68" s="4">
        <v>40</v>
      </c>
    </row>
    <row r="69" spans="2:4" hidden="1" outlineLevel="1" x14ac:dyDescent="0.2">
      <c r="B69" s="3" t="s">
        <v>55</v>
      </c>
      <c r="D69" s="4">
        <v>120</v>
      </c>
    </row>
    <row r="70" spans="2:4" hidden="1" outlineLevel="1" x14ac:dyDescent="0.2">
      <c r="B70" s="3" t="s">
        <v>56</v>
      </c>
      <c r="D70" s="4">
        <v>105</v>
      </c>
    </row>
    <row r="71" spans="2:4" hidden="1" outlineLevel="1" x14ac:dyDescent="0.2">
      <c r="B71" s="3" t="s">
        <v>57</v>
      </c>
      <c r="D71" s="4">
        <v>75</v>
      </c>
    </row>
    <row r="72" spans="2:4" hidden="1" outlineLevel="1" x14ac:dyDescent="0.2">
      <c r="B72" s="3" t="s">
        <v>58</v>
      </c>
      <c r="D72" s="4">
        <v>60</v>
      </c>
    </row>
    <row r="73" spans="2:4" hidden="1" outlineLevel="1" x14ac:dyDescent="0.2">
      <c r="B73" s="3" t="s">
        <v>59</v>
      </c>
      <c r="D73" s="4">
        <v>40</v>
      </c>
    </row>
    <row r="74" spans="2:4" hidden="1" outlineLevel="1" x14ac:dyDescent="0.2">
      <c r="B74" s="3" t="s">
        <v>60</v>
      </c>
      <c r="D74" s="4">
        <v>130</v>
      </c>
    </row>
    <row r="75" spans="2:4" hidden="1" outlineLevel="1" x14ac:dyDescent="0.2">
      <c r="B75" s="3" t="s">
        <v>61</v>
      </c>
      <c r="D75" s="4">
        <v>70</v>
      </c>
    </row>
    <row r="76" spans="2:4" hidden="1" outlineLevel="1" x14ac:dyDescent="0.2">
      <c r="B76" s="3" t="s">
        <v>62</v>
      </c>
      <c r="D76" s="4">
        <v>50</v>
      </c>
    </row>
    <row r="77" spans="2:4" hidden="1" outlineLevel="1" x14ac:dyDescent="0.2">
      <c r="B77" s="3" t="s">
        <v>63</v>
      </c>
      <c r="D77" s="4">
        <v>30</v>
      </c>
    </row>
    <row r="78" spans="2:4" hidden="1" outlineLevel="1" x14ac:dyDescent="0.2">
      <c r="B78" s="3" t="s">
        <v>64</v>
      </c>
      <c r="D78" s="4">
        <v>20</v>
      </c>
    </row>
    <row r="79" spans="2:4" hidden="1" outlineLevel="1" x14ac:dyDescent="0.2">
      <c r="B79" s="3" t="s">
        <v>65</v>
      </c>
      <c r="D79" s="4">
        <v>-10</v>
      </c>
    </row>
    <row r="80" spans="2:4" hidden="1" outlineLevel="1" x14ac:dyDescent="0.2">
      <c r="B80" s="3" t="s">
        <v>66</v>
      </c>
      <c r="D80" s="4">
        <v>-25</v>
      </c>
    </row>
    <row r="81" spans="2:4" hidden="1" outlineLevel="1" x14ac:dyDescent="0.2">
      <c r="B81" s="3" t="s">
        <v>67</v>
      </c>
      <c r="D81" s="4">
        <v>-95</v>
      </c>
    </row>
    <row r="82" spans="2:4" hidden="1" outlineLevel="1" x14ac:dyDescent="0.2">
      <c r="B82" s="3" t="s">
        <v>68</v>
      </c>
      <c r="D82" s="4">
        <v>-60</v>
      </c>
    </row>
    <row r="83" spans="2:4" hidden="1" outlineLevel="1" x14ac:dyDescent="0.2">
      <c r="B83" s="3" t="s">
        <v>69</v>
      </c>
      <c r="D83" s="4">
        <v>-40</v>
      </c>
    </row>
    <row r="84" spans="2:4" hidden="1" outlineLevel="1" x14ac:dyDescent="0.2">
      <c r="B84" s="3" t="s">
        <v>70</v>
      </c>
      <c r="D84" s="4">
        <v>-65</v>
      </c>
    </row>
    <row r="85" spans="2:4" hidden="1" outlineLevel="1" x14ac:dyDescent="0.2">
      <c r="B85" s="3" t="s">
        <v>71</v>
      </c>
      <c r="D85" s="4">
        <v>-35</v>
      </c>
    </row>
    <row r="86" spans="2:4" hidden="1" outlineLevel="1" x14ac:dyDescent="0.2">
      <c r="B86" s="3" t="s">
        <v>72</v>
      </c>
      <c r="D86" s="4">
        <v>-25</v>
      </c>
    </row>
    <row r="87" spans="2:4" hidden="1" outlineLevel="1" x14ac:dyDescent="0.2">
      <c r="B87" s="3" t="s">
        <v>73</v>
      </c>
      <c r="D87" s="4">
        <v>-125</v>
      </c>
    </row>
    <row r="88" spans="2:4" hidden="1" outlineLevel="1" x14ac:dyDescent="0.2">
      <c r="B88" s="3" t="s">
        <v>74</v>
      </c>
      <c r="D88" s="4">
        <v>-55</v>
      </c>
    </row>
    <row r="89" spans="2:4" hidden="1" outlineLevel="1" x14ac:dyDescent="0.2">
      <c r="B89" s="3" t="s">
        <v>75</v>
      </c>
      <c r="D89" s="4">
        <v>-45</v>
      </c>
    </row>
    <row r="90" spans="2:4" hidden="1" outlineLevel="1" x14ac:dyDescent="0.2">
      <c r="B90" s="3" t="s">
        <v>76</v>
      </c>
      <c r="D90" s="4">
        <v>-100</v>
      </c>
    </row>
    <row r="91" spans="2:4" hidden="1" outlineLevel="1" x14ac:dyDescent="0.2">
      <c r="B91" s="3" t="s">
        <v>77</v>
      </c>
      <c r="D91" s="4">
        <v>-80</v>
      </c>
    </row>
    <row r="92" spans="2:4" hidden="1" outlineLevel="1" x14ac:dyDescent="0.2">
      <c r="B92" s="3" t="s">
        <v>78</v>
      </c>
      <c r="D92" s="4">
        <v>-25</v>
      </c>
    </row>
    <row r="93" spans="2:4" hidden="1" outlineLevel="1" x14ac:dyDescent="0.2">
      <c r="B93" s="3" t="s">
        <v>79</v>
      </c>
      <c r="D93" s="4">
        <v>-129</v>
      </c>
    </row>
    <row r="94" spans="2:4" hidden="1" outlineLevel="1" x14ac:dyDescent="0.2">
      <c r="B94" s="3" t="s">
        <v>80</v>
      </c>
      <c r="D94" s="4">
        <v>-70</v>
      </c>
    </row>
    <row r="95" spans="2:4" hidden="1" outlineLevel="1" x14ac:dyDescent="0.2">
      <c r="B95" s="3" t="s">
        <v>81</v>
      </c>
      <c r="D95" s="4">
        <v>-105</v>
      </c>
    </row>
    <row r="96" spans="2:4" hidden="1" outlineLevel="1" x14ac:dyDescent="0.2">
      <c r="B96" s="3" t="s">
        <v>82</v>
      </c>
      <c r="D96" s="4">
        <v>-75</v>
      </c>
    </row>
    <row r="97" spans="2:4" hidden="1" outlineLevel="1" x14ac:dyDescent="0.2">
      <c r="B97" s="3" t="s">
        <v>83</v>
      </c>
      <c r="D97" s="4">
        <v>-36</v>
      </c>
    </row>
    <row r="98" spans="2:4" collapsed="1" x14ac:dyDescent="0.2">
      <c r="B98" s="18" t="s">
        <v>37</v>
      </c>
      <c r="C98" s="19"/>
      <c r="D98" s="15">
        <f>D63+SUM(D64:D97)</f>
        <v>200</v>
      </c>
    </row>
    <row r="100" spans="2:4" x14ac:dyDescent="0.2">
      <c r="B100" s="6" t="s">
        <v>84</v>
      </c>
      <c r="C100" s="12"/>
      <c r="D100" s="12"/>
    </row>
    <row r="101" spans="2:4" hidden="1" outlineLevel="1" x14ac:dyDescent="0.2">
      <c r="B101" s="3" t="s">
        <v>85</v>
      </c>
      <c r="D101" s="4">
        <v>200</v>
      </c>
    </row>
    <row r="102" spans="2:4" hidden="1" outlineLevel="1" x14ac:dyDescent="0.2">
      <c r="B102" s="3" t="s">
        <v>86</v>
      </c>
      <c r="D102" s="4">
        <v>180</v>
      </c>
    </row>
    <row r="103" spans="2:4" hidden="1" outlineLevel="1" x14ac:dyDescent="0.2">
      <c r="B103" s="3" t="s">
        <v>87</v>
      </c>
      <c r="D103" s="4">
        <v>130</v>
      </c>
    </row>
    <row r="104" spans="2:4" hidden="1" outlineLevel="1" x14ac:dyDescent="0.2">
      <c r="B104" s="3" t="s">
        <v>88</v>
      </c>
      <c r="D104" s="4">
        <v>170</v>
      </c>
    </row>
    <row r="105" spans="2:4" hidden="1" outlineLevel="1" x14ac:dyDescent="0.2">
      <c r="B105" s="3" t="s">
        <v>89</v>
      </c>
      <c r="D105" s="4">
        <v>65</v>
      </c>
    </row>
    <row r="106" spans="2:4" hidden="1" outlineLevel="1" x14ac:dyDescent="0.2">
      <c r="B106" s="3" t="s">
        <v>90</v>
      </c>
      <c r="D106" s="4">
        <v>95</v>
      </c>
    </row>
    <row r="107" spans="2:4" hidden="1" outlineLevel="1" x14ac:dyDescent="0.2">
      <c r="B107" s="3" t="s">
        <v>91</v>
      </c>
      <c r="D107" s="4">
        <v>45</v>
      </c>
    </row>
    <row r="108" spans="2:4" hidden="1" outlineLevel="1" x14ac:dyDescent="0.2">
      <c r="B108" s="3" t="s">
        <v>92</v>
      </c>
      <c r="D108" s="4">
        <v>40</v>
      </c>
    </row>
    <row r="109" spans="2:4" hidden="1" outlineLevel="1" x14ac:dyDescent="0.2">
      <c r="B109" s="3" t="s">
        <v>93</v>
      </c>
      <c r="D109" s="4">
        <v>35</v>
      </c>
    </row>
    <row r="110" spans="2:4" hidden="1" outlineLevel="1" x14ac:dyDescent="0.2">
      <c r="B110" s="3" t="s">
        <v>94</v>
      </c>
      <c r="D110" s="4">
        <v>20</v>
      </c>
    </row>
    <row r="111" spans="2:4" hidden="1" outlineLevel="1" x14ac:dyDescent="0.2">
      <c r="B111" s="3" t="s">
        <v>95</v>
      </c>
      <c r="D111" s="4">
        <v>90</v>
      </c>
    </row>
    <row r="112" spans="2:4" hidden="1" outlineLevel="1" x14ac:dyDescent="0.2">
      <c r="B112" s="3" t="s">
        <v>96</v>
      </c>
      <c r="D112" s="4">
        <v>70</v>
      </c>
    </row>
    <row r="113" spans="2:4" hidden="1" outlineLevel="1" x14ac:dyDescent="0.2">
      <c r="B113" s="3" t="s">
        <v>97</v>
      </c>
      <c r="D113" s="4">
        <v>60</v>
      </c>
    </row>
    <row r="114" spans="2:4" collapsed="1" x14ac:dyDescent="0.2">
      <c r="B114" s="18" t="s">
        <v>8</v>
      </c>
      <c r="C114" s="19"/>
      <c r="D114" s="15">
        <f>SUM(D101:D113)</f>
        <v>1200</v>
      </c>
    </row>
    <row r="115" spans="2:4" hidden="1" outlineLevel="1" x14ac:dyDescent="0.2">
      <c r="B115" s="3" t="s">
        <v>98</v>
      </c>
      <c r="D115" s="4">
        <v>400</v>
      </c>
    </row>
    <row r="116" spans="2:4" hidden="1" outlineLevel="1" x14ac:dyDescent="0.2">
      <c r="B116" s="3" t="s">
        <v>99</v>
      </c>
      <c r="D116" s="4">
        <v>-160</v>
      </c>
    </row>
    <row r="117" spans="2:4" collapsed="1" x14ac:dyDescent="0.2">
      <c r="B117" s="18" t="s">
        <v>37</v>
      </c>
      <c r="C117" s="19"/>
      <c r="D117" s="15">
        <f>D114+SUM(D115:D116)</f>
        <v>1440</v>
      </c>
    </row>
    <row r="119" spans="2:4" x14ac:dyDescent="0.2">
      <c r="B119" s="6" t="s">
        <v>100</v>
      </c>
      <c r="C119" s="12"/>
      <c r="D119" s="12"/>
    </row>
    <row r="120" spans="2:4" hidden="1" outlineLevel="1" x14ac:dyDescent="0.2">
      <c r="B120" s="3" t="s">
        <v>101</v>
      </c>
      <c r="D120" s="4">
        <v>250</v>
      </c>
    </row>
    <row r="121" spans="2:4" hidden="1" outlineLevel="1" x14ac:dyDescent="0.2">
      <c r="B121" s="3" t="s">
        <v>102</v>
      </c>
      <c r="D121" s="4">
        <v>200</v>
      </c>
    </row>
    <row r="122" spans="2:4" hidden="1" outlineLevel="1" x14ac:dyDescent="0.2">
      <c r="B122" s="3" t="s">
        <v>103</v>
      </c>
      <c r="D122" s="4">
        <v>180</v>
      </c>
    </row>
    <row r="123" spans="2:4" hidden="1" outlineLevel="1" x14ac:dyDescent="0.2">
      <c r="B123" s="3" t="s">
        <v>104</v>
      </c>
      <c r="D123" s="4">
        <v>120</v>
      </c>
    </row>
    <row r="124" spans="2:4" collapsed="1" x14ac:dyDescent="0.2">
      <c r="B124" s="18" t="s">
        <v>8</v>
      </c>
      <c r="C124" s="19"/>
      <c r="D124" s="15">
        <f>SUM(D120:D123)</f>
        <v>750</v>
      </c>
    </row>
    <row r="125" spans="2:4" hidden="1" outlineLevel="1" x14ac:dyDescent="0.2">
      <c r="B125" s="3" t="s">
        <v>99</v>
      </c>
      <c r="D125" s="4">
        <v>-40</v>
      </c>
    </row>
    <row r="126" spans="2:4" collapsed="1" x14ac:dyDescent="0.2">
      <c r="B126" s="18" t="s">
        <v>37</v>
      </c>
      <c r="C126" s="19"/>
      <c r="D126" s="15">
        <f>D124+SUM(D125:D125)</f>
        <v>710</v>
      </c>
    </row>
    <row r="128" spans="2:4" x14ac:dyDescent="0.2">
      <c r="B128" s="6" t="s">
        <v>105</v>
      </c>
      <c r="C128" s="12"/>
      <c r="D128" s="12"/>
    </row>
    <row r="129" spans="2:4" hidden="1" outlineLevel="1" x14ac:dyDescent="0.2">
      <c r="B129" s="3" t="s">
        <v>106</v>
      </c>
      <c r="D129" s="4">
        <v>610</v>
      </c>
    </row>
    <row r="130" spans="2:4" collapsed="1" x14ac:dyDescent="0.2">
      <c r="B130" s="18" t="s">
        <v>8</v>
      </c>
      <c r="C130" s="19"/>
      <c r="D130" s="15">
        <f>SUM(D129:D129)</f>
        <v>610</v>
      </c>
    </row>
    <row r="131" spans="2:4" hidden="1" outlineLevel="1" x14ac:dyDescent="0.2">
      <c r="B131" s="3" t="s">
        <v>99</v>
      </c>
      <c r="D131" s="4">
        <v>-30</v>
      </c>
    </row>
    <row r="132" spans="2:4" collapsed="1" x14ac:dyDescent="0.2">
      <c r="B132" s="18" t="s">
        <v>37</v>
      </c>
      <c r="C132" s="19"/>
      <c r="D132" s="15">
        <f>D130+SUM(D131:D131)</f>
        <v>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B1:D17"/>
  <sheetViews>
    <sheetView zoomScale="277" zoomScaleNormal="277" workbookViewId="0">
      <selection activeCell="B25" sqref="B25"/>
    </sheetView>
  </sheetViews>
  <sheetFormatPr baseColWidth="10" defaultColWidth="8.83203125" defaultRowHeight="15" outlineLevelRow="1" x14ac:dyDescent="0.2"/>
  <cols>
    <col min="1" max="1" width="2" customWidth="1"/>
    <col min="2" max="2" width="50" customWidth="1"/>
    <col min="3" max="3" width="3" customWidth="1"/>
    <col min="4" max="4" width="14" customWidth="1"/>
  </cols>
  <sheetData>
    <row r="1" spans="2:4" ht="19" x14ac:dyDescent="0.25">
      <c r="B1" s="1" t="s">
        <v>107</v>
      </c>
    </row>
    <row r="2" spans="2:4" x14ac:dyDescent="0.2">
      <c r="B2" s="6" t="s">
        <v>108</v>
      </c>
      <c r="C2" s="12"/>
      <c r="D2" s="12"/>
    </row>
    <row r="3" spans="2:4" hidden="1" outlineLevel="1" x14ac:dyDescent="0.2">
      <c r="B3" s="3" t="s">
        <v>109</v>
      </c>
      <c r="D3" s="4">
        <v>300</v>
      </c>
    </row>
    <row r="4" spans="2:4" hidden="1" outlineLevel="1" x14ac:dyDescent="0.2">
      <c r="B4" s="3" t="s">
        <v>110</v>
      </c>
      <c r="D4" s="4">
        <v>180</v>
      </c>
    </row>
    <row r="5" spans="2:4" hidden="1" outlineLevel="1" x14ac:dyDescent="0.2">
      <c r="B5" s="3" t="s">
        <v>111</v>
      </c>
      <c r="D5" s="4">
        <v>130</v>
      </c>
    </row>
    <row r="6" spans="2:4" hidden="1" outlineLevel="1" x14ac:dyDescent="0.2">
      <c r="B6" s="3" t="s">
        <v>112</v>
      </c>
      <c r="D6" s="4">
        <v>170</v>
      </c>
    </row>
    <row r="7" spans="2:4" hidden="1" outlineLevel="1" x14ac:dyDescent="0.2">
      <c r="B7" s="3" t="s">
        <v>113</v>
      </c>
      <c r="D7" s="4">
        <v>750</v>
      </c>
    </row>
    <row r="8" spans="2:4" hidden="1" outlineLevel="1" x14ac:dyDescent="0.2">
      <c r="B8" s="3" t="s">
        <v>114</v>
      </c>
      <c r="D8" s="4">
        <v>500</v>
      </c>
    </row>
    <row r="9" spans="2:4" collapsed="1" x14ac:dyDescent="0.2">
      <c r="B9" s="18" t="s">
        <v>8</v>
      </c>
      <c r="C9" s="19"/>
      <c r="D9" s="15">
        <f>SUM(D3:D8)</f>
        <v>2030</v>
      </c>
    </row>
    <row r="10" spans="2:4" hidden="1" outlineLevel="1" x14ac:dyDescent="0.2">
      <c r="B10" s="3" t="s">
        <v>115</v>
      </c>
      <c r="D10" s="4">
        <v>-2030</v>
      </c>
    </row>
    <row r="11" spans="2:4" collapsed="1" x14ac:dyDescent="0.2">
      <c r="B11" s="18" t="s">
        <v>37</v>
      </c>
      <c r="C11" s="19"/>
      <c r="D11" s="15">
        <f>D9+SUM(D10:D10)</f>
        <v>0</v>
      </c>
    </row>
    <row r="13" spans="2:4" x14ac:dyDescent="0.2">
      <c r="B13" s="6" t="s">
        <v>116</v>
      </c>
      <c r="C13" s="12"/>
      <c r="D13" s="12"/>
    </row>
    <row r="14" spans="2:4" hidden="1" outlineLevel="1" x14ac:dyDescent="0.2">
      <c r="B14" s="3" t="s">
        <v>117</v>
      </c>
      <c r="D14" s="4">
        <v>220</v>
      </c>
    </row>
    <row r="15" spans="2:4" collapsed="1" x14ac:dyDescent="0.2">
      <c r="B15" s="18" t="s">
        <v>8</v>
      </c>
      <c r="C15" s="19"/>
      <c r="D15" s="15">
        <f>SUM(D14:D14)</f>
        <v>220</v>
      </c>
    </row>
    <row r="16" spans="2:4" hidden="1" outlineLevel="1" x14ac:dyDescent="0.2">
      <c r="B16" s="3" t="s">
        <v>118</v>
      </c>
      <c r="D16" s="4">
        <v>-220</v>
      </c>
    </row>
    <row r="17" spans="2:4" collapsed="1" x14ac:dyDescent="0.2">
      <c r="B17" s="18" t="s">
        <v>37</v>
      </c>
      <c r="C17" s="19"/>
      <c r="D17" s="15">
        <f>D15+SUM(D16:D16)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B1:D73"/>
  <sheetViews>
    <sheetView tabSelected="1" zoomScale="258" zoomScaleNormal="258" workbookViewId="0">
      <selection activeCell="B77" sqref="B77"/>
    </sheetView>
  </sheetViews>
  <sheetFormatPr baseColWidth="10" defaultColWidth="8.83203125" defaultRowHeight="15" outlineLevelRow="1" x14ac:dyDescent="0.2"/>
  <cols>
    <col min="1" max="1" width="2" customWidth="1"/>
    <col min="2" max="2" width="50" customWidth="1"/>
    <col min="3" max="3" width="3" customWidth="1"/>
    <col min="4" max="4" width="14" customWidth="1"/>
  </cols>
  <sheetData>
    <row r="1" spans="2:4" ht="19" x14ac:dyDescent="0.25">
      <c r="B1" s="1" t="s">
        <v>119</v>
      </c>
    </row>
    <row r="2" spans="2:4" x14ac:dyDescent="0.2">
      <c r="B2" s="6" t="s">
        <v>120</v>
      </c>
      <c r="C2" s="12"/>
      <c r="D2" s="12"/>
    </row>
    <row r="3" spans="2:4" hidden="1" outlineLevel="1" x14ac:dyDescent="0.2">
      <c r="B3" s="3" t="s">
        <v>121</v>
      </c>
      <c r="D3" s="4">
        <v>160</v>
      </c>
    </row>
    <row r="4" spans="2:4" hidden="1" outlineLevel="1" x14ac:dyDescent="0.2">
      <c r="B4" s="3" t="s">
        <v>122</v>
      </c>
      <c r="D4" s="4">
        <v>610</v>
      </c>
    </row>
    <row r="5" spans="2:4" hidden="1" outlineLevel="1" x14ac:dyDescent="0.2">
      <c r="B5" s="3" t="s">
        <v>123</v>
      </c>
      <c r="D5" s="4">
        <v>220</v>
      </c>
    </row>
    <row r="6" spans="2:4" hidden="1" outlineLevel="1" x14ac:dyDescent="0.2">
      <c r="B6" s="3" t="s">
        <v>124</v>
      </c>
      <c r="D6" s="4">
        <v>1300</v>
      </c>
    </row>
    <row r="7" spans="2:4" collapsed="1" x14ac:dyDescent="0.2">
      <c r="B7" s="18" t="s">
        <v>8</v>
      </c>
      <c r="C7" s="19"/>
      <c r="D7" s="15">
        <f>SUM(D3:D6)</f>
        <v>2290</v>
      </c>
    </row>
    <row r="8" spans="2:4" x14ac:dyDescent="0.2">
      <c r="B8" s="18" t="s">
        <v>37</v>
      </c>
      <c r="C8" s="19"/>
      <c r="D8" s="15">
        <f>D7</f>
        <v>2290</v>
      </c>
    </row>
    <row r="10" spans="2:4" x14ac:dyDescent="0.2">
      <c r="B10" s="6" t="s">
        <v>125</v>
      </c>
      <c r="C10" s="12"/>
      <c r="D10" s="12"/>
    </row>
    <row r="11" spans="2:4" hidden="1" outlineLevel="1" x14ac:dyDescent="0.2">
      <c r="B11" s="3" t="s">
        <v>126</v>
      </c>
      <c r="D11" s="4">
        <v>340</v>
      </c>
    </row>
    <row r="12" spans="2:4" hidden="1" outlineLevel="1" x14ac:dyDescent="0.2">
      <c r="B12" s="3" t="s">
        <v>127</v>
      </c>
      <c r="D12" s="4">
        <v>180</v>
      </c>
    </row>
    <row r="13" spans="2:4" hidden="1" outlineLevel="1" x14ac:dyDescent="0.2">
      <c r="B13" s="3" t="s">
        <v>128</v>
      </c>
      <c r="D13" s="4">
        <v>80</v>
      </c>
    </row>
    <row r="14" spans="2:4" hidden="1" outlineLevel="1" x14ac:dyDescent="0.2">
      <c r="B14" s="3" t="s">
        <v>129</v>
      </c>
      <c r="D14" s="4">
        <v>140</v>
      </c>
    </row>
    <row r="15" spans="2:4" hidden="1" outlineLevel="1" x14ac:dyDescent="0.2">
      <c r="B15" s="3" t="s">
        <v>130</v>
      </c>
      <c r="D15" s="4">
        <v>130</v>
      </c>
    </row>
    <row r="16" spans="2:4" hidden="1" outlineLevel="1" x14ac:dyDescent="0.2">
      <c r="B16" s="3" t="s">
        <v>131</v>
      </c>
      <c r="D16" s="4">
        <v>100</v>
      </c>
    </row>
    <row r="17" spans="2:4" hidden="1" outlineLevel="1" x14ac:dyDescent="0.2">
      <c r="B17" s="3" t="s">
        <v>132</v>
      </c>
      <c r="D17" s="4">
        <v>150</v>
      </c>
    </row>
    <row r="18" spans="2:4" hidden="1" outlineLevel="1" x14ac:dyDescent="0.2">
      <c r="B18" s="3" t="s">
        <v>133</v>
      </c>
      <c r="D18" s="4">
        <v>-300</v>
      </c>
    </row>
    <row r="19" spans="2:4" hidden="1" outlineLevel="1" x14ac:dyDescent="0.2">
      <c r="B19" s="3" t="s">
        <v>134</v>
      </c>
      <c r="D19" s="4">
        <v>-650</v>
      </c>
    </row>
    <row r="20" spans="2:4" collapsed="1" x14ac:dyDescent="0.2">
      <c r="B20" s="18" t="s">
        <v>8</v>
      </c>
      <c r="C20" s="19"/>
      <c r="D20" s="15">
        <f>SUM(D11:D19)</f>
        <v>170</v>
      </c>
    </row>
    <row r="21" spans="2:4" hidden="1" outlineLevel="1" x14ac:dyDescent="0.2">
      <c r="B21" s="13" t="s">
        <v>135</v>
      </c>
      <c r="D21" s="4">
        <v>-650</v>
      </c>
    </row>
    <row r="22" spans="2:4" hidden="1" outlineLevel="1" x14ac:dyDescent="0.2">
      <c r="B22" s="13" t="s">
        <v>9</v>
      </c>
      <c r="D22" s="4">
        <v>120</v>
      </c>
    </row>
    <row r="23" spans="2:4" hidden="1" outlineLevel="1" x14ac:dyDescent="0.2">
      <c r="B23" s="13" t="s">
        <v>65</v>
      </c>
      <c r="D23" s="4">
        <v>-10</v>
      </c>
    </row>
    <row r="24" spans="2:4" hidden="1" outlineLevel="1" x14ac:dyDescent="0.2">
      <c r="B24" s="13" t="s">
        <v>10</v>
      </c>
      <c r="D24" s="4">
        <v>150</v>
      </c>
    </row>
    <row r="25" spans="2:4" hidden="1" outlineLevel="1" x14ac:dyDescent="0.2">
      <c r="B25" s="13" t="s">
        <v>11</v>
      </c>
      <c r="D25" s="4">
        <v>270</v>
      </c>
    </row>
    <row r="26" spans="2:4" hidden="1" outlineLevel="1" x14ac:dyDescent="0.2">
      <c r="B26" s="13" t="s">
        <v>66</v>
      </c>
      <c r="D26" s="4">
        <v>-25</v>
      </c>
    </row>
    <row r="27" spans="2:4" hidden="1" outlineLevel="1" x14ac:dyDescent="0.2">
      <c r="B27" s="13" t="s">
        <v>12</v>
      </c>
      <c r="D27" s="4">
        <v>300</v>
      </c>
    </row>
    <row r="28" spans="2:4" hidden="1" outlineLevel="1" x14ac:dyDescent="0.2">
      <c r="B28" s="13" t="s">
        <v>67</v>
      </c>
      <c r="D28" s="4">
        <v>-95</v>
      </c>
    </row>
    <row r="29" spans="2:4" hidden="1" outlineLevel="1" x14ac:dyDescent="0.2">
      <c r="B29" s="13" t="s">
        <v>13</v>
      </c>
      <c r="D29" s="4">
        <v>150</v>
      </c>
    </row>
    <row r="30" spans="2:4" hidden="1" outlineLevel="1" x14ac:dyDescent="0.2">
      <c r="B30" s="13" t="s">
        <v>14</v>
      </c>
      <c r="D30" s="4">
        <v>360</v>
      </c>
    </row>
    <row r="31" spans="2:4" hidden="1" outlineLevel="1" x14ac:dyDescent="0.2">
      <c r="B31" s="13" t="s">
        <v>68</v>
      </c>
      <c r="D31" s="4">
        <v>-60</v>
      </c>
    </row>
    <row r="32" spans="2:4" hidden="1" outlineLevel="1" x14ac:dyDescent="0.2">
      <c r="B32" s="13" t="s">
        <v>15</v>
      </c>
      <c r="D32" s="4">
        <v>225</v>
      </c>
    </row>
    <row r="33" spans="2:4" hidden="1" outlineLevel="1" x14ac:dyDescent="0.2">
      <c r="B33" s="13" t="s">
        <v>69</v>
      </c>
      <c r="D33" s="4">
        <v>-40</v>
      </c>
    </row>
    <row r="34" spans="2:4" hidden="1" outlineLevel="1" x14ac:dyDescent="0.2">
      <c r="B34" s="13" t="s">
        <v>16</v>
      </c>
      <c r="D34" s="4">
        <v>210</v>
      </c>
    </row>
    <row r="35" spans="2:4" hidden="1" outlineLevel="1" x14ac:dyDescent="0.2">
      <c r="B35" s="13" t="s">
        <v>70</v>
      </c>
      <c r="D35" s="4">
        <v>-65</v>
      </c>
    </row>
    <row r="36" spans="2:4" hidden="1" outlineLevel="1" x14ac:dyDescent="0.2">
      <c r="B36" s="13" t="s">
        <v>136</v>
      </c>
      <c r="D36" s="4">
        <v>-650</v>
      </c>
    </row>
    <row r="37" spans="2:4" hidden="1" outlineLevel="1" x14ac:dyDescent="0.2">
      <c r="B37" s="13" t="s">
        <v>17</v>
      </c>
      <c r="D37" s="4">
        <v>240</v>
      </c>
    </row>
    <row r="38" spans="2:4" hidden="1" outlineLevel="1" x14ac:dyDescent="0.2">
      <c r="B38" s="13" t="s">
        <v>71</v>
      </c>
      <c r="D38" s="4">
        <v>-35</v>
      </c>
    </row>
    <row r="39" spans="2:4" hidden="1" outlineLevel="1" x14ac:dyDescent="0.2">
      <c r="B39" s="13" t="s">
        <v>18</v>
      </c>
      <c r="D39" s="4">
        <v>240</v>
      </c>
    </row>
    <row r="40" spans="2:4" hidden="1" outlineLevel="1" x14ac:dyDescent="0.2">
      <c r="B40" s="13" t="s">
        <v>72</v>
      </c>
      <c r="D40" s="4">
        <v>-25</v>
      </c>
    </row>
    <row r="41" spans="2:4" hidden="1" outlineLevel="1" x14ac:dyDescent="0.2">
      <c r="B41" s="13" t="s">
        <v>19</v>
      </c>
      <c r="D41" s="4">
        <v>450</v>
      </c>
    </row>
    <row r="42" spans="2:4" hidden="1" outlineLevel="1" x14ac:dyDescent="0.2">
      <c r="B42" s="13" t="s">
        <v>73</v>
      </c>
      <c r="D42" s="4">
        <v>-125</v>
      </c>
    </row>
    <row r="43" spans="2:4" hidden="1" outlineLevel="1" x14ac:dyDescent="0.2">
      <c r="B43" s="13" t="s">
        <v>20</v>
      </c>
      <c r="D43" s="4">
        <v>360</v>
      </c>
    </row>
    <row r="44" spans="2:4" hidden="1" outlineLevel="1" x14ac:dyDescent="0.2">
      <c r="B44" s="13" t="s">
        <v>74</v>
      </c>
      <c r="D44" s="4">
        <v>-55</v>
      </c>
    </row>
    <row r="45" spans="2:4" hidden="1" outlineLevel="1" x14ac:dyDescent="0.2">
      <c r="B45" s="13" t="s">
        <v>21</v>
      </c>
      <c r="D45" s="4">
        <v>270</v>
      </c>
    </row>
    <row r="46" spans="2:4" hidden="1" outlineLevel="1" x14ac:dyDescent="0.2">
      <c r="B46" s="13" t="s">
        <v>75</v>
      </c>
      <c r="D46" s="4">
        <v>-45</v>
      </c>
    </row>
    <row r="47" spans="2:4" hidden="1" outlineLevel="1" x14ac:dyDescent="0.2">
      <c r="B47" s="13" t="s">
        <v>22</v>
      </c>
      <c r="D47" s="4">
        <v>240</v>
      </c>
    </row>
    <row r="48" spans="2:4" hidden="1" outlineLevel="1" x14ac:dyDescent="0.2">
      <c r="B48" s="13" t="s">
        <v>76</v>
      </c>
      <c r="D48" s="4">
        <v>-100</v>
      </c>
    </row>
    <row r="49" spans="2:4" hidden="1" outlineLevel="1" x14ac:dyDescent="0.2">
      <c r="B49" s="13" t="s">
        <v>23</v>
      </c>
      <c r="D49" s="4">
        <v>300</v>
      </c>
    </row>
    <row r="50" spans="2:4" hidden="1" outlineLevel="1" x14ac:dyDescent="0.2">
      <c r="B50" s="13" t="s">
        <v>77</v>
      </c>
      <c r="D50" s="4">
        <v>-80</v>
      </c>
    </row>
    <row r="51" spans="2:4" hidden="1" outlineLevel="1" x14ac:dyDescent="0.2">
      <c r="B51" s="13" t="s">
        <v>137</v>
      </c>
      <c r="D51" s="4">
        <v>-650</v>
      </c>
    </row>
    <row r="52" spans="2:4" hidden="1" outlineLevel="1" x14ac:dyDescent="0.2">
      <c r="B52" s="13" t="s">
        <v>24</v>
      </c>
      <c r="D52" s="4">
        <v>240</v>
      </c>
    </row>
    <row r="53" spans="2:4" hidden="1" outlineLevel="1" x14ac:dyDescent="0.2">
      <c r="B53" s="13" t="s">
        <v>78</v>
      </c>
      <c r="D53" s="4">
        <v>-25</v>
      </c>
    </row>
    <row r="54" spans="2:4" hidden="1" outlineLevel="1" x14ac:dyDescent="0.2">
      <c r="B54" s="13" t="s">
        <v>25</v>
      </c>
      <c r="D54" s="4">
        <v>485</v>
      </c>
    </row>
    <row r="55" spans="2:4" hidden="1" outlineLevel="1" x14ac:dyDescent="0.2">
      <c r="B55" s="13" t="s">
        <v>79</v>
      </c>
      <c r="D55" s="4">
        <v>-129</v>
      </c>
    </row>
    <row r="56" spans="2:4" hidden="1" outlineLevel="1" x14ac:dyDescent="0.2">
      <c r="B56" s="13" t="s">
        <v>26</v>
      </c>
      <c r="D56" s="4">
        <v>390</v>
      </c>
    </row>
    <row r="57" spans="2:4" hidden="1" outlineLevel="1" x14ac:dyDescent="0.2">
      <c r="B57" s="13" t="s">
        <v>80</v>
      </c>
      <c r="D57" s="4">
        <v>-70</v>
      </c>
    </row>
    <row r="58" spans="2:4" hidden="1" outlineLevel="1" x14ac:dyDescent="0.2">
      <c r="B58" s="13" t="s">
        <v>27</v>
      </c>
      <c r="D58" s="4">
        <v>500</v>
      </c>
    </row>
    <row r="59" spans="2:4" hidden="1" outlineLevel="1" x14ac:dyDescent="0.2">
      <c r="B59" s="13" t="s">
        <v>81</v>
      </c>
      <c r="D59" s="4">
        <v>-105</v>
      </c>
    </row>
    <row r="60" spans="2:4" hidden="1" outlineLevel="1" x14ac:dyDescent="0.2">
      <c r="B60" s="13" t="s">
        <v>138</v>
      </c>
      <c r="D60" s="4">
        <v>300</v>
      </c>
    </row>
    <row r="61" spans="2:4" hidden="1" outlineLevel="1" x14ac:dyDescent="0.2">
      <c r="B61" s="13" t="s">
        <v>82</v>
      </c>
      <c r="D61" s="4">
        <v>-75</v>
      </c>
    </row>
    <row r="62" spans="2:4" hidden="1" outlineLevel="1" x14ac:dyDescent="0.2">
      <c r="B62" s="13" t="s">
        <v>139</v>
      </c>
      <c r="D62" s="4">
        <v>220</v>
      </c>
    </row>
    <row r="63" spans="2:4" hidden="1" outlineLevel="1" x14ac:dyDescent="0.2">
      <c r="B63" s="13" t="s">
        <v>83</v>
      </c>
      <c r="D63" s="4">
        <v>-36</v>
      </c>
    </row>
    <row r="64" spans="2:4" hidden="1" outlineLevel="1" x14ac:dyDescent="0.2">
      <c r="B64" s="13" t="s">
        <v>140</v>
      </c>
      <c r="D64" s="4">
        <v>-200</v>
      </c>
    </row>
    <row r="65" spans="2:4" hidden="1" outlineLevel="1" x14ac:dyDescent="0.2">
      <c r="B65" s="13" t="s">
        <v>141</v>
      </c>
      <c r="D65" s="4">
        <v>-30</v>
      </c>
    </row>
    <row r="66" spans="2:4" collapsed="1" x14ac:dyDescent="0.2">
      <c r="B66" s="18" t="s">
        <v>37</v>
      </c>
      <c r="C66" s="19"/>
      <c r="D66" s="15">
        <f>D20+SUM(D21:D65)</f>
        <v>2810</v>
      </c>
    </row>
    <row r="68" spans="2:4" x14ac:dyDescent="0.2">
      <c r="B68" s="6" t="s">
        <v>142</v>
      </c>
      <c r="C68" s="12"/>
      <c r="D68" s="12"/>
    </row>
    <row r="69" spans="2:4" hidden="1" outlineLevel="1" x14ac:dyDescent="0.2">
      <c r="B69" s="3" t="s">
        <v>143</v>
      </c>
      <c r="D69" s="4">
        <v>-600</v>
      </c>
    </row>
    <row r="70" spans="2:4" collapsed="1" x14ac:dyDescent="0.2">
      <c r="B70" s="18" t="s">
        <v>37</v>
      </c>
      <c r="C70" s="19"/>
      <c r="D70" s="15">
        <f>SUM(D69:D69)</f>
        <v>-600</v>
      </c>
    </row>
    <row r="72" spans="2:4" x14ac:dyDescent="0.2">
      <c r="B72" s="2"/>
      <c r="D72" s="5"/>
    </row>
    <row r="73" spans="2:4" x14ac:dyDescent="0.2">
      <c r="B73" s="2"/>
      <c r="D73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B1:D20"/>
  <sheetViews>
    <sheetView zoomScale="160" zoomScaleNormal="160" workbookViewId="0">
      <selection activeCell="C29" sqref="C29"/>
    </sheetView>
  </sheetViews>
  <sheetFormatPr baseColWidth="10" defaultColWidth="8.83203125" defaultRowHeight="15" x14ac:dyDescent="0.2"/>
  <cols>
    <col min="1" max="1" width="2" customWidth="1"/>
    <col min="2" max="2" width="50" customWidth="1"/>
    <col min="3" max="4" width="16" customWidth="1"/>
  </cols>
  <sheetData>
    <row r="1" spans="2:4" ht="19" x14ac:dyDescent="0.25">
      <c r="B1" s="1" t="s">
        <v>144</v>
      </c>
    </row>
    <row r="2" spans="2:4" x14ac:dyDescent="0.2">
      <c r="B2" s="2"/>
      <c r="C2" s="14" t="s">
        <v>145</v>
      </c>
      <c r="D2" s="14" t="s">
        <v>146</v>
      </c>
    </row>
    <row r="3" spans="2:4" x14ac:dyDescent="0.2">
      <c r="B3" s="10" t="s">
        <v>0</v>
      </c>
      <c r="C3" s="16"/>
      <c r="D3" s="16"/>
    </row>
    <row r="4" spans="2:4" x14ac:dyDescent="0.2">
      <c r="B4" s="9" t="s">
        <v>1</v>
      </c>
      <c r="C4" s="4">
        <f>Assets!D15</f>
        <v>1300</v>
      </c>
      <c r="D4" s="4">
        <f>Assets!D44</f>
        <v>620</v>
      </c>
    </row>
    <row r="5" spans="2:4" x14ac:dyDescent="0.2">
      <c r="B5" s="9" t="s">
        <v>38</v>
      </c>
      <c r="C5" s="8" t="s">
        <v>147</v>
      </c>
      <c r="D5" s="4">
        <f>Assets!D48</f>
        <v>300</v>
      </c>
    </row>
    <row r="6" spans="2:4" x14ac:dyDescent="0.2">
      <c r="B6" s="9" t="s">
        <v>40</v>
      </c>
      <c r="C6" s="4">
        <f>Assets!D52</f>
        <v>650</v>
      </c>
      <c r="D6" s="4">
        <f>Assets!D53</f>
        <v>650</v>
      </c>
    </row>
    <row r="7" spans="2:4" x14ac:dyDescent="0.2">
      <c r="B7" s="9" t="s">
        <v>42</v>
      </c>
      <c r="C7" s="4">
        <f>Assets!D63</f>
        <v>200</v>
      </c>
      <c r="D7" s="4">
        <f>Assets!D98</f>
        <v>200</v>
      </c>
    </row>
    <row r="8" spans="2:4" x14ac:dyDescent="0.2">
      <c r="B8" s="9" t="s">
        <v>84</v>
      </c>
      <c r="C8" s="4">
        <f>Assets!D114</f>
        <v>1200</v>
      </c>
      <c r="D8" s="4">
        <f>Assets!D117</f>
        <v>1440</v>
      </c>
    </row>
    <row r="9" spans="2:4" x14ac:dyDescent="0.2">
      <c r="B9" s="9" t="s">
        <v>100</v>
      </c>
      <c r="C9" s="4">
        <f>Assets!D124</f>
        <v>750</v>
      </c>
      <c r="D9" s="4">
        <f>Assets!D126</f>
        <v>710</v>
      </c>
    </row>
    <row r="10" spans="2:4" x14ac:dyDescent="0.2">
      <c r="B10" s="9" t="s">
        <v>105</v>
      </c>
      <c r="C10" s="4">
        <f>Assets!D130</f>
        <v>610</v>
      </c>
      <c r="D10" s="4">
        <f>Assets!D132</f>
        <v>580</v>
      </c>
    </row>
    <row r="11" spans="2:4" x14ac:dyDescent="0.2">
      <c r="B11" s="11" t="s">
        <v>148</v>
      </c>
      <c r="C11" s="15">
        <f>SUM(C4:C10)</f>
        <v>4710</v>
      </c>
      <c r="D11" s="15">
        <f>SUM(D4:D10)</f>
        <v>4500</v>
      </c>
    </row>
    <row r="12" spans="2:4" x14ac:dyDescent="0.2">
      <c r="B12" s="10" t="s">
        <v>107</v>
      </c>
      <c r="C12" s="16"/>
      <c r="D12" s="16"/>
    </row>
    <row r="13" spans="2:4" x14ac:dyDescent="0.2">
      <c r="B13" s="9" t="s">
        <v>108</v>
      </c>
      <c r="C13" s="4">
        <f>Liabilities!D9</f>
        <v>2030</v>
      </c>
      <c r="D13" s="4">
        <f>Liabilities!D11</f>
        <v>0</v>
      </c>
    </row>
    <row r="14" spans="2:4" x14ac:dyDescent="0.2">
      <c r="B14" s="9" t="s">
        <v>116</v>
      </c>
      <c r="C14" s="4">
        <f>Liabilities!D15</f>
        <v>220</v>
      </c>
      <c r="D14" s="4">
        <f>Liabilities!D17</f>
        <v>0</v>
      </c>
    </row>
    <row r="15" spans="2:4" x14ac:dyDescent="0.2">
      <c r="B15" s="11" t="s">
        <v>149</v>
      </c>
      <c r="C15" s="15">
        <f>SUM(C13:C14)</f>
        <v>2250</v>
      </c>
      <c r="D15" s="15">
        <f>SUM(D13:D14)</f>
        <v>0</v>
      </c>
    </row>
    <row r="16" spans="2:4" x14ac:dyDescent="0.2">
      <c r="B16" s="10" t="s">
        <v>150</v>
      </c>
      <c r="C16" s="16"/>
      <c r="D16" s="16"/>
    </row>
    <row r="17" spans="2:4" x14ac:dyDescent="0.2">
      <c r="B17" s="9" t="s">
        <v>151</v>
      </c>
      <c r="C17" s="4">
        <f>Reasons!D7</f>
        <v>2290</v>
      </c>
      <c r="D17" s="4">
        <f>Reasons!D8</f>
        <v>2290</v>
      </c>
    </row>
    <row r="18" spans="2:4" x14ac:dyDescent="0.2">
      <c r="B18" s="9" t="s">
        <v>152</v>
      </c>
      <c r="C18" s="4">
        <f>Reasons!D20</f>
        <v>170</v>
      </c>
      <c r="D18" s="4">
        <f>Reasons!D66</f>
        <v>2810</v>
      </c>
    </row>
    <row r="19" spans="2:4" x14ac:dyDescent="0.2">
      <c r="B19" s="9" t="s">
        <v>153</v>
      </c>
      <c r="C19" s="8" t="s">
        <v>147</v>
      </c>
      <c r="D19" s="4">
        <f>Reasons!D70</f>
        <v>-600</v>
      </c>
    </row>
    <row r="20" spans="2:4" x14ac:dyDescent="0.2">
      <c r="B20" s="11" t="s">
        <v>154</v>
      </c>
      <c r="C20" s="15">
        <f>SUM(C17:C19)</f>
        <v>2460</v>
      </c>
      <c r="D20" s="15">
        <f>SUM(D17:D19)</f>
        <v>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992E-C9DB-134E-83EE-BF038D680F2C}">
  <sheetPr>
    <tabColor rgb="FF7030A0"/>
  </sheetPr>
  <dimension ref="B1:M77"/>
  <sheetViews>
    <sheetView zoomScale="160" zoomScaleNormal="160" workbookViewId="0">
      <selection activeCell="G44" sqref="G44"/>
    </sheetView>
  </sheetViews>
  <sheetFormatPr baseColWidth="10" defaultRowHeight="15" x14ac:dyDescent="0.2"/>
  <cols>
    <col min="2" max="2" width="50.6640625" bestFit="1" customWidth="1"/>
    <col min="3" max="3" width="4.5" customWidth="1"/>
  </cols>
  <sheetData>
    <row r="1" spans="2:4" ht="19" x14ac:dyDescent="0.25">
      <c r="B1" s="21" t="s">
        <v>155</v>
      </c>
    </row>
    <row r="2" spans="2:4" x14ac:dyDescent="0.2">
      <c r="B2" s="13" t="s">
        <v>135</v>
      </c>
      <c r="D2" s="4">
        <v>-650</v>
      </c>
    </row>
    <row r="3" spans="2:4" x14ac:dyDescent="0.2">
      <c r="B3" s="13" t="s">
        <v>9</v>
      </c>
      <c r="D3" s="4">
        <v>120</v>
      </c>
    </row>
    <row r="4" spans="2:4" x14ac:dyDescent="0.2">
      <c r="B4" s="13" t="s">
        <v>65</v>
      </c>
      <c r="D4" s="4">
        <v>-10</v>
      </c>
    </row>
    <row r="5" spans="2:4" x14ac:dyDescent="0.2">
      <c r="B5" s="13" t="s">
        <v>10</v>
      </c>
      <c r="D5" s="4">
        <v>150</v>
      </c>
    </row>
    <row r="6" spans="2:4" x14ac:dyDescent="0.2">
      <c r="B6" s="13" t="s">
        <v>11</v>
      </c>
      <c r="D6" s="4">
        <v>270</v>
      </c>
    </row>
    <row r="7" spans="2:4" x14ac:dyDescent="0.2">
      <c r="B7" s="13" t="s">
        <v>66</v>
      </c>
      <c r="D7" s="4">
        <v>-25</v>
      </c>
    </row>
    <row r="8" spans="2:4" x14ac:dyDescent="0.2">
      <c r="B8" s="13" t="s">
        <v>12</v>
      </c>
      <c r="D8" s="4">
        <v>300</v>
      </c>
    </row>
    <row r="9" spans="2:4" x14ac:dyDescent="0.2">
      <c r="B9" s="13" t="s">
        <v>67</v>
      </c>
      <c r="D9" s="4">
        <v>-95</v>
      </c>
    </row>
    <row r="10" spans="2:4" x14ac:dyDescent="0.2">
      <c r="B10" s="13" t="s">
        <v>13</v>
      </c>
      <c r="D10" s="4">
        <v>150</v>
      </c>
    </row>
    <row r="11" spans="2:4" x14ac:dyDescent="0.2">
      <c r="B11" s="13" t="s">
        <v>14</v>
      </c>
      <c r="D11" s="4">
        <v>360</v>
      </c>
    </row>
    <row r="12" spans="2:4" x14ac:dyDescent="0.2">
      <c r="B12" s="13" t="s">
        <v>68</v>
      </c>
      <c r="D12" s="4">
        <v>-60</v>
      </c>
    </row>
    <row r="13" spans="2:4" x14ac:dyDescent="0.2">
      <c r="B13" s="13" t="s">
        <v>15</v>
      </c>
      <c r="D13" s="4">
        <v>225</v>
      </c>
    </row>
    <row r="14" spans="2:4" x14ac:dyDescent="0.2">
      <c r="B14" s="13" t="s">
        <v>69</v>
      </c>
      <c r="D14" s="4">
        <v>-40</v>
      </c>
    </row>
    <row r="15" spans="2:4" x14ac:dyDescent="0.2">
      <c r="B15" s="13" t="s">
        <v>16</v>
      </c>
      <c r="D15" s="4">
        <v>210</v>
      </c>
    </row>
    <row r="16" spans="2:4" x14ac:dyDescent="0.2">
      <c r="B16" s="13" t="s">
        <v>70</v>
      </c>
      <c r="D16" s="4">
        <v>-65</v>
      </c>
    </row>
    <row r="17" spans="2:4" x14ac:dyDescent="0.2">
      <c r="B17" s="13" t="s">
        <v>136</v>
      </c>
      <c r="D17" s="4">
        <v>-650</v>
      </c>
    </row>
    <row r="18" spans="2:4" x14ac:dyDescent="0.2">
      <c r="B18" s="13" t="s">
        <v>17</v>
      </c>
      <c r="D18" s="4">
        <v>240</v>
      </c>
    </row>
    <row r="19" spans="2:4" x14ac:dyDescent="0.2">
      <c r="B19" s="13" t="s">
        <v>71</v>
      </c>
      <c r="D19" s="4">
        <v>-35</v>
      </c>
    </row>
    <row r="20" spans="2:4" x14ac:dyDescent="0.2">
      <c r="B20" s="13" t="s">
        <v>18</v>
      </c>
      <c r="D20" s="4">
        <v>240</v>
      </c>
    </row>
    <row r="21" spans="2:4" x14ac:dyDescent="0.2">
      <c r="B21" s="13" t="s">
        <v>72</v>
      </c>
      <c r="D21" s="4">
        <v>-25</v>
      </c>
    </row>
    <row r="22" spans="2:4" x14ac:dyDescent="0.2">
      <c r="B22" s="13" t="s">
        <v>19</v>
      </c>
      <c r="D22" s="4">
        <v>450</v>
      </c>
    </row>
    <row r="23" spans="2:4" x14ac:dyDescent="0.2">
      <c r="B23" s="13" t="s">
        <v>73</v>
      </c>
      <c r="D23" s="4">
        <v>-125</v>
      </c>
    </row>
    <row r="24" spans="2:4" x14ac:dyDescent="0.2">
      <c r="B24" s="13" t="s">
        <v>20</v>
      </c>
      <c r="D24" s="4">
        <v>360</v>
      </c>
    </row>
    <row r="25" spans="2:4" x14ac:dyDescent="0.2">
      <c r="B25" s="13" t="s">
        <v>74</v>
      </c>
      <c r="D25" s="4">
        <v>-55</v>
      </c>
    </row>
    <row r="26" spans="2:4" x14ac:dyDescent="0.2">
      <c r="B26" s="13" t="s">
        <v>21</v>
      </c>
      <c r="D26" s="4">
        <v>270</v>
      </c>
    </row>
    <row r="27" spans="2:4" x14ac:dyDescent="0.2">
      <c r="B27" s="13" t="s">
        <v>75</v>
      </c>
      <c r="D27" s="4">
        <v>-45</v>
      </c>
    </row>
    <row r="28" spans="2:4" x14ac:dyDescent="0.2">
      <c r="B28" s="13" t="s">
        <v>22</v>
      </c>
      <c r="D28" s="4">
        <v>240</v>
      </c>
    </row>
    <row r="29" spans="2:4" x14ac:dyDescent="0.2">
      <c r="B29" s="13" t="s">
        <v>76</v>
      </c>
      <c r="D29" s="4">
        <v>-100</v>
      </c>
    </row>
    <row r="30" spans="2:4" x14ac:dyDescent="0.2">
      <c r="B30" s="13" t="s">
        <v>23</v>
      </c>
      <c r="D30" s="4">
        <v>300</v>
      </c>
    </row>
    <row r="31" spans="2:4" x14ac:dyDescent="0.2">
      <c r="B31" s="13" t="s">
        <v>77</v>
      </c>
      <c r="D31" s="4">
        <v>-80</v>
      </c>
    </row>
    <row r="32" spans="2:4" x14ac:dyDescent="0.2">
      <c r="B32" s="13" t="s">
        <v>137</v>
      </c>
      <c r="D32" s="4">
        <v>-650</v>
      </c>
    </row>
    <row r="33" spans="2:4" x14ac:dyDescent="0.2">
      <c r="B33" s="13" t="s">
        <v>24</v>
      </c>
      <c r="D33" s="4">
        <v>240</v>
      </c>
    </row>
    <row r="34" spans="2:4" x14ac:dyDescent="0.2">
      <c r="B34" s="13" t="s">
        <v>78</v>
      </c>
      <c r="D34" s="4">
        <v>-25</v>
      </c>
    </row>
    <row r="35" spans="2:4" x14ac:dyDescent="0.2">
      <c r="B35" s="13" t="s">
        <v>25</v>
      </c>
      <c r="D35" s="4">
        <v>485</v>
      </c>
    </row>
    <row r="36" spans="2:4" x14ac:dyDescent="0.2">
      <c r="B36" s="13" t="s">
        <v>79</v>
      </c>
      <c r="D36" s="4">
        <v>-129</v>
      </c>
    </row>
    <row r="37" spans="2:4" x14ac:dyDescent="0.2">
      <c r="B37" s="13" t="s">
        <v>26</v>
      </c>
      <c r="D37" s="4">
        <v>390</v>
      </c>
    </row>
    <row r="38" spans="2:4" x14ac:dyDescent="0.2">
      <c r="B38" s="13" t="s">
        <v>80</v>
      </c>
      <c r="D38" s="4">
        <v>-70</v>
      </c>
    </row>
    <row r="39" spans="2:4" x14ac:dyDescent="0.2">
      <c r="B39" s="13" t="s">
        <v>27</v>
      </c>
      <c r="D39" s="4">
        <v>500</v>
      </c>
    </row>
    <row r="40" spans="2:4" x14ac:dyDescent="0.2">
      <c r="B40" s="13" t="s">
        <v>81</v>
      </c>
      <c r="D40" s="4">
        <v>-105</v>
      </c>
    </row>
    <row r="41" spans="2:4" x14ac:dyDescent="0.2">
      <c r="B41" s="13" t="s">
        <v>138</v>
      </c>
      <c r="D41" s="4">
        <v>300</v>
      </c>
    </row>
    <row r="42" spans="2:4" x14ac:dyDescent="0.2">
      <c r="B42" s="13" t="s">
        <v>82</v>
      </c>
      <c r="D42" s="4">
        <v>-75</v>
      </c>
    </row>
    <row r="43" spans="2:4" x14ac:dyDescent="0.2">
      <c r="B43" s="13" t="s">
        <v>139</v>
      </c>
      <c r="D43" s="4">
        <v>220</v>
      </c>
    </row>
    <row r="44" spans="2:4" x14ac:dyDescent="0.2">
      <c r="B44" s="13" t="s">
        <v>83</v>
      </c>
      <c r="D44" s="4">
        <v>-36</v>
      </c>
    </row>
    <row r="45" spans="2:4" x14ac:dyDescent="0.2">
      <c r="B45" s="13" t="s">
        <v>140</v>
      </c>
      <c r="D45" s="4">
        <v>-200</v>
      </c>
    </row>
    <row r="46" spans="2:4" x14ac:dyDescent="0.2">
      <c r="B46" s="13" t="s">
        <v>141</v>
      </c>
      <c r="D46" s="4">
        <v>-30</v>
      </c>
    </row>
    <row r="77" spans="13:13" x14ac:dyDescent="0.2">
      <c r="M77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CFA0D-3C84-3A49-9B30-7119DF6BFE1D}">
  <sheetPr>
    <tabColor rgb="FF7030A0"/>
  </sheetPr>
  <dimension ref="B1:M77"/>
  <sheetViews>
    <sheetView zoomScale="160" zoomScaleNormal="160" workbookViewId="0">
      <selection activeCell="I8" sqref="I8"/>
    </sheetView>
  </sheetViews>
  <sheetFormatPr baseColWidth="10" defaultRowHeight="15" x14ac:dyDescent="0.2"/>
  <cols>
    <col min="2" max="2" width="50.6640625" bestFit="1" customWidth="1"/>
    <col min="3" max="3" width="4.5" customWidth="1"/>
  </cols>
  <sheetData>
    <row r="1" spans="2:4" ht="19" x14ac:dyDescent="0.25">
      <c r="B1" s="21" t="s">
        <v>156</v>
      </c>
    </row>
    <row r="2" spans="2:4" x14ac:dyDescent="0.2">
      <c r="B2" s="13"/>
      <c r="D2" s="4"/>
    </row>
    <row r="3" spans="2:4" x14ac:dyDescent="0.2">
      <c r="B3" s="6" t="s">
        <v>120</v>
      </c>
      <c r="C3" s="12"/>
      <c r="D3" s="12"/>
    </row>
    <row r="4" spans="2:4" x14ac:dyDescent="0.2">
      <c r="B4" s="3" t="s">
        <v>121</v>
      </c>
      <c r="D4" s="4">
        <v>160</v>
      </c>
    </row>
    <row r="5" spans="2:4" x14ac:dyDescent="0.2">
      <c r="B5" s="3" t="s">
        <v>122</v>
      </c>
      <c r="D5" s="4">
        <v>610</v>
      </c>
    </row>
    <row r="6" spans="2:4" x14ac:dyDescent="0.2">
      <c r="B6" s="3" t="s">
        <v>123</v>
      </c>
      <c r="D6" s="4">
        <v>220</v>
      </c>
    </row>
    <row r="7" spans="2:4" x14ac:dyDescent="0.2">
      <c r="B7" s="3" t="s">
        <v>124</v>
      </c>
      <c r="D7" s="4">
        <v>1300</v>
      </c>
    </row>
    <row r="8" spans="2:4" x14ac:dyDescent="0.2">
      <c r="B8" s="18" t="s">
        <v>8</v>
      </c>
      <c r="C8" s="19"/>
      <c r="D8" s="15">
        <f>SUM(D4:D7)</f>
        <v>2290</v>
      </c>
    </row>
    <row r="9" spans="2:4" x14ac:dyDescent="0.2">
      <c r="B9" s="18" t="s">
        <v>37</v>
      </c>
      <c r="C9" s="19"/>
      <c r="D9" s="15">
        <f>D8</f>
        <v>2290</v>
      </c>
    </row>
    <row r="11" spans="2:4" x14ac:dyDescent="0.2">
      <c r="B11" s="6" t="s">
        <v>125</v>
      </c>
      <c r="C11" s="12"/>
      <c r="D11" s="12"/>
    </row>
    <row r="12" spans="2:4" x14ac:dyDescent="0.2">
      <c r="B12" s="3" t="s">
        <v>126</v>
      </c>
      <c r="D12" s="4">
        <v>340</v>
      </c>
    </row>
    <row r="13" spans="2:4" x14ac:dyDescent="0.2">
      <c r="B13" s="3" t="s">
        <v>127</v>
      </c>
      <c r="D13" s="4">
        <v>180</v>
      </c>
    </row>
    <row r="14" spans="2:4" x14ac:dyDescent="0.2">
      <c r="B14" s="3" t="s">
        <v>128</v>
      </c>
      <c r="D14" s="4">
        <v>80</v>
      </c>
    </row>
    <row r="15" spans="2:4" x14ac:dyDescent="0.2">
      <c r="B15" s="3" t="s">
        <v>129</v>
      </c>
      <c r="D15" s="4">
        <v>140</v>
      </c>
    </row>
    <row r="16" spans="2:4" x14ac:dyDescent="0.2">
      <c r="B16" s="3" t="s">
        <v>130</v>
      </c>
      <c r="D16" s="4">
        <v>130</v>
      </c>
    </row>
    <row r="17" spans="2:4" x14ac:dyDescent="0.2">
      <c r="B17" s="3" t="s">
        <v>131</v>
      </c>
      <c r="D17" s="4">
        <v>100</v>
      </c>
    </row>
    <row r="18" spans="2:4" x14ac:dyDescent="0.2">
      <c r="B18" s="3" t="s">
        <v>132</v>
      </c>
      <c r="D18" s="4">
        <v>150</v>
      </c>
    </row>
    <row r="19" spans="2:4" x14ac:dyDescent="0.2">
      <c r="B19" s="3" t="s">
        <v>133</v>
      </c>
      <c r="D19" s="4">
        <v>-300</v>
      </c>
    </row>
    <row r="20" spans="2:4" x14ac:dyDescent="0.2">
      <c r="B20" s="3" t="s">
        <v>134</v>
      </c>
      <c r="D20" s="4">
        <v>-650</v>
      </c>
    </row>
    <row r="21" spans="2:4" x14ac:dyDescent="0.2">
      <c r="B21" s="18" t="s">
        <v>8</v>
      </c>
      <c r="C21" s="19"/>
      <c r="D21" s="15">
        <f>SUM(D12:D20)</f>
        <v>170</v>
      </c>
    </row>
    <row r="22" spans="2:4" x14ac:dyDescent="0.2">
      <c r="B22" s="13" t="s">
        <v>135</v>
      </c>
      <c r="D22" s="4">
        <v>-650</v>
      </c>
    </row>
    <row r="23" spans="2:4" x14ac:dyDescent="0.2">
      <c r="B23" s="13" t="s">
        <v>9</v>
      </c>
      <c r="D23" s="4">
        <v>120</v>
      </c>
    </row>
    <row r="24" spans="2:4" x14ac:dyDescent="0.2">
      <c r="B24" s="13" t="s">
        <v>65</v>
      </c>
      <c r="D24" s="4">
        <v>-10</v>
      </c>
    </row>
    <row r="25" spans="2:4" x14ac:dyDescent="0.2">
      <c r="B25" s="13" t="s">
        <v>10</v>
      </c>
      <c r="D25" s="4">
        <v>150</v>
      </c>
    </row>
    <row r="26" spans="2:4" x14ac:dyDescent="0.2">
      <c r="B26" s="13" t="s">
        <v>11</v>
      </c>
      <c r="D26" s="4">
        <v>270</v>
      </c>
    </row>
    <row r="27" spans="2:4" x14ac:dyDescent="0.2">
      <c r="B27" s="13" t="s">
        <v>66</v>
      </c>
      <c r="D27" s="4">
        <v>-25</v>
      </c>
    </row>
    <row r="28" spans="2:4" x14ac:dyDescent="0.2">
      <c r="B28" s="13" t="s">
        <v>12</v>
      </c>
      <c r="D28" s="4">
        <v>300</v>
      </c>
    </row>
    <row r="29" spans="2:4" x14ac:dyDescent="0.2">
      <c r="B29" s="13" t="s">
        <v>67</v>
      </c>
      <c r="D29" s="4">
        <v>-95</v>
      </c>
    </row>
    <row r="30" spans="2:4" x14ac:dyDescent="0.2">
      <c r="B30" s="13" t="s">
        <v>13</v>
      </c>
      <c r="D30" s="4">
        <v>150</v>
      </c>
    </row>
    <row r="31" spans="2:4" x14ac:dyDescent="0.2">
      <c r="B31" s="13" t="s">
        <v>14</v>
      </c>
      <c r="D31" s="4">
        <v>360</v>
      </c>
    </row>
    <row r="32" spans="2:4" x14ac:dyDescent="0.2">
      <c r="B32" s="13" t="s">
        <v>68</v>
      </c>
      <c r="D32" s="4">
        <v>-60</v>
      </c>
    </row>
    <row r="33" spans="2:4" x14ac:dyDescent="0.2">
      <c r="B33" s="13" t="s">
        <v>15</v>
      </c>
      <c r="D33" s="4">
        <v>225</v>
      </c>
    </row>
    <row r="34" spans="2:4" x14ac:dyDescent="0.2">
      <c r="B34" s="13" t="s">
        <v>69</v>
      </c>
      <c r="D34" s="4">
        <v>-40</v>
      </c>
    </row>
    <row r="35" spans="2:4" x14ac:dyDescent="0.2">
      <c r="B35" s="13" t="s">
        <v>16</v>
      </c>
      <c r="D35" s="4">
        <v>210</v>
      </c>
    </row>
    <row r="36" spans="2:4" x14ac:dyDescent="0.2">
      <c r="B36" s="13" t="s">
        <v>70</v>
      </c>
      <c r="D36" s="4">
        <v>-65</v>
      </c>
    </row>
    <row r="37" spans="2:4" x14ac:dyDescent="0.2">
      <c r="B37" s="13" t="s">
        <v>136</v>
      </c>
      <c r="D37" s="4">
        <v>-650</v>
      </c>
    </row>
    <row r="38" spans="2:4" x14ac:dyDescent="0.2">
      <c r="B38" s="13" t="s">
        <v>17</v>
      </c>
      <c r="D38" s="4">
        <v>240</v>
      </c>
    </row>
    <row r="39" spans="2:4" x14ac:dyDescent="0.2">
      <c r="B39" s="13" t="s">
        <v>71</v>
      </c>
      <c r="D39" s="4">
        <v>-35</v>
      </c>
    </row>
    <row r="40" spans="2:4" x14ac:dyDescent="0.2">
      <c r="B40" s="13" t="s">
        <v>18</v>
      </c>
      <c r="D40" s="4">
        <v>240</v>
      </c>
    </row>
    <row r="41" spans="2:4" x14ac:dyDescent="0.2">
      <c r="B41" s="13" t="s">
        <v>72</v>
      </c>
      <c r="D41" s="4">
        <v>-25</v>
      </c>
    </row>
    <row r="42" spans="2:4" x14ac:dyDescent="0.2">
      <c r="B42" s="13" t="s">
        <v>19</v>
      </c>
      <c r="D42" s="4">
        <v>450</v>
      </c>
    </row>
    <row r="43" spans="2:4" x14ac:dyDescent="0.2">
      <c r="B43" s="13" t="s">
        <v>73</v>
      </c>
      <c r="D43" s="4">
        <v>-125</v>
      </c>
    </row>
    <row r="44" spans="2:4" x14ac:dyDescent="0.2">
      <c r="B44" s="13" t="s">
        <v>20</v>
      </c>
      <c r="D44" s="4">
        <v>360</v>
      </c>
    </row>
    <row r="45" spans="2:4" x14ac:dyDescent="0.2">
      <c r="B45" s="13" t="s">
        <v>74</v>
      </c>
      <c r="D45" s="4">
        <v>-55</v>
      </c>
    </row>
    <row r="46" spans="2:4" x14ac:dyDescent="0.2">
      <c r="B46" s="13" t="s">
        <v>21</v>
      </c>
      <c r="D46" s="4">
        <v>270</v>
      </c>
    </row>
    <row r="47" spans="2:4" x14ac:dyDescent="0.2">
      <c r="B47" s="13" t="s">
        <v>75</v>
      </c>
      <c r="D47" s="4">
        <v>-45</v>
      </c>
    </row>
    <row r="48" spans="2:4" x14ac:dyDescent="0.2">
      <c r="B48" s="13" t="s">
        <v>22</v>
      </c>
      <c r="D48" s="4">
        <v>240</v>
      </c>
    </row>
    <row r="49" spans="2:4" x14ac:dyDescent="0.2">
      <c r="B49" s="13" t="s">
        <v>76</v>
      </c>
      <c r="D49" s="4">
        <v>-100</v>
      </c>
    </row>
    <row r="50" spans="2:4" x14ac:dyDescent="0.2">
      <c r="B50" s="13" t="s">
        <v>23</v>
      </c>
      <c r="D50" s="4">
        <v>300</v>
      </c>
    </row>
    <row r="51" spans="2:4" x14ac:dyDescent="0.2">
      <c r="B51" s="13" t="s">
        <v>77</v>
      </c>
      <c r="D51" s="4">
        <v>-80</v>
      </c>
    </row>
    <row r="52" spans="2:4" x14ac:dyDescent="0.2">
      <c r="B52" s="13" t="s">
        <v>137</v>
      </c>
      <c r="D52" s="4">
        <v>-650</v>
      </c>
    </row>
    <row r="53" spans="2:4" x14ac:dyDescent="0.2">
      <c r="B53" s="13" t="s">
        <v>24</v>
      </c>
      <c r="D53" s="4">
        <v>240</v>
      </c>
    </row>
    <row r="54" spans="2:4" x14ac:dyDescent="0.2">
      <c r="B54" s="13" t="s">
        <v>78</v>
      </c>
      <c r="D54" s="4">
        <v>-25</v>
      </c>
    </row>
    <row r="55" spans="2:4" x14ac:dyDescent="0.2">
      <c r="B55" s="13" t="s">
        <v>25</v>
      </c>
      <c r="D55" s="4">
        <v>485</v>
      </c>
    </row>
    <row r="56" spans="2:4" x14ac:dyDescent="0.2">
      <c r="B56" s="13" t="s">
        <v>79</v>
      </c>
      <c r="D56" s="4">
        <v>-129</v>
      </c>
    </row>
    <row r="57" spans="2:4" x14ac:dyDescent="0.2">
      <c r="B57" s="13" t="s">
        <v>26</v>
      </c>
      <c r="D57" s="4">
        <v>390</v>
      </c>
    </row>
    <row r="58" spans="2:4" x14ac:dyDescent="0.2">
      <c r="B58" s="13" t="s">
        <v>80</v>
      </c>
      <c r="D58" s="4">
        <v>-70</v>
      </c>
    </row>
    <row r="59" spans="2:4" x14ac:dyDescent="0.2">
      <c r="B59" s="13" t="s">
        <v>27</v>
      </c>
      <c r="D59" s="4">
        <v>500</v>
      </c>
    </row>
    <row r="60" spans="2:4" x14ac:dyDescent="0.2">
      <c r="B60" s="13" t="s">
        <v>81</v>
      </c>
      <c r="D60" s="4">
        <v>-105</v>
      </c>
    </row>
    <row r="61" spans="2:4" x14ac:dyDescent="0.2">
      <c r="B61" s="13" t="s">
        <v>138</v>
      </c>
      <c r="D61" s="4">
        <v>300</v>
      </c>
    </row>
    <row r="62" spans="2:4" x14ac:dyDescent="0.2">
      <c r="B62" s="13" t="s">
        <v>82</v>
      </c>
      <c r="D62" s="4">
        <v>-75</v>
      </c>
    </row>
    <row r="63" spans="2:4" x14ac:dyDescent="0.2">
      <c r="B63" s="13" t="s">
        <v>139</v>
      </c>
      <c r="D63" s="4">
        <v>220</v>
      </c>
    </row>
    <row r="64" spans="2:4" x14ac:dyDescent="0.2">
      <c r="B64" s="13" t="s">
        <v>83</v>
      </c>
      <c r="D64" s="4">
        <v>-36</v>
      </c>
    </row>
    <row r="65" spans="2:13" x14ac:dyDescent="0.2">
      <c r="B65" s="13" t="s">
        <v>140</v>
      </c>
      <c r="D65" s="4">
        <v>-200</v>
      </c>
    </row>
    <row r="66" spans="2:13" x14ac:dyDescent="0.2">
      <c r="B66" s="13" t="s">
        <v>141</v>
      </c>
      <c r="D66" s="4">
        <v>-30</v>
      </c>
    </row>
    <row r="67" spans="2:13" x14ac:dyDescent="0.2">
      <c r="B67" s="18" t="s">
        <v>37</v>
      </c>
      <c r="C67" s="19"/>
      <c r="D67" s="15">
        <f>D21+SUM(D22:D66)</f>
        <v>2810</v>
      </c>
    </row>
    <row r="69" spans="2:13" x14ac:dyDescent="0.2">
      <c r="B69" s="6" t="s">
        <v>142</v>
      </c>
      <c r="C69" s="12"/>
      <c r="D69" s="12"/>
    </row>
    <row r="70" spans="2:13" x14ac:dyDescent="0.2">
      <c r="B70" s="3" t="s">
        <v>143</v>
      </c>
      <c r="D70" s="4">
        <v>-600</v>
      </c>
    </row>
    <row r="71" spans="2:13" x14ac:dyDescent="0.2">
      <c r="B71" s="18" t="s">
        <v>37</v>
      </c>
      <c r="C71" s="19"/>
      <c r="D71" s="15">
        <f>SUM(D70:D70)</f>
        <v>-600</v>
      </c>
    </row>
    <row r="77" spans="2:13" x14ac:dyDescent="0.2">
      <c r="M77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4C5C-7257-9745-8C5F-123E57280D92}">
  <sheetPr>
    <tabColor rgb="FF7030A0"/>
  </sheetPr>
  <dimension ref="B1:M77"/>
  <sheetViews>
    <sheetView zoomScale="160" zoomScaleNormal="160" workbookViewId="0">
      <selection activeCell="B40" sqref="B40"/>
    </sheetView>
  </sheetViews>
  <sheetFormatPr baseColWidth="10" defaultRowHeight="15" x14ac:dyDescent="0.2"/>
  <cols>
    <col min="2" max="2" width="50.6640625" bestFit="1" customWidth="1"/>
    <col min="3" max="3" width="4.5" customWidth="1"/>
  </cols>
  <sheetData>
    <row r="1" spans="2:4" ht="19" x14ac:dyDescent="0.25">
      <c r="B1" s="21" t="s">
        <v>157</v>
      </c>
    </row>
    <row r="2" spans="2:4" x14ac:dyDescent="0.2">
      <c r="B2" s="13"/>
      <c r="D2" s="4"/>
    </row>
    <row r="3" spans="2:4" x14ac:dyDescent="0.2">
      <c r="B3" s="7" t="s">
        <v>9</v>
      </c>
      <c r="D3" s="4">
        <v>120</v>
      </c>
    </row>
    <row r="4" spans="2:4" x14ac:dyDescent="0.2">
      <c r="B4" s="7" t="s">
        <v>10</v>
      </c>
      <c r="D4" s="4">
        <v>150</v>
      </c>
    </row>
    <row r="5" spans="2:4" x14ac:dyDescent="0.2">
      <c r="B5" s="7" t="s">
        <v>11</v>
      </c>
      <c r="D5" s="4">
        <v>270</v>
      </c>
    </row>
    <row r="6" spans="2:4" x14ac:dyDescent="0.2">
      <c r="B6" s="7" t="s">
        <v>12</v>
      </c>
      <c r="D6" s="4">
        <v>300</v>
      </c>
    </row>
    <row r="7" spans="2:4" x14ac:dyDescent="0.2">
      <c r="B7" s="7" t="s">
        <v>13</v>
      </c>
      <c r="D7" s="4">
        <v>150</v>
      </c>
    </row>
    <row r="8" spans="2:4" x14ac:dyDescent="0.2">
      <c r="B8" s="7" t="s">
        <v>14</v>
      </c>
      <c r="D8" s="4">
        <v>360</v>
      </c>
    </row>
    <row r="9" spans="2:4" x14ac:dyDescent="0.2">
      <c r="B9" s="7" t="s">
        <v>15</v>
      </c>
      <c r="D9" s="4">
        <v>225</v>
      </c>
    </row>
    <row r="10" spans="2:4" x14ac:dyDescent="0.2">
      <c r="B10" s="7" t="s">
        <v>16</v>
      </c>
      <c r="D10" s="4">
        <v>210</v>
      </c>
    </row>
    <row r="11" spans="2:4" x14ac:dyDescent="0.2">
      <c r="B11" s="7" t="s">
        <v>17</v>
      </c>
      <c r="D11" s="4">
        <v>240</v>
      </c>
    </row>
    <row r="12" spans="2:4" x14ac:dyDescent="0.2">
      <c r="B12" s="7" t="s">
        <v>18</v>
      </c>
      <c r="D12" s="4">
        <v>240</v>
      </c>
    </row>
    <row r="13" spans="2:4" x14ac:dyDescent="0.2">
      <c r="B13" s="7" t="s">
        <v>19</v>
      </c>
      <c r="D13" s="4">
        <v>450</v>
      </c>
    </row>
    <row r="14" spans="2:4" x14ac:dyDescent="0.2">
      <c r="B14" s="7" t="s">
        <v>20</v>
      </c>
      <c r="D14" s="4">
        <v>360</v>
      </c>
    </row>
    <row r="15" spans="2:4" x14ac:dyDescent="0.2">
      <c r="B15" s="7" t="s">
        <v>21</v>
      </c>
      <c r="D15" s="4">
        <v>270</v>
      </c>
    </row>
    <row r="16" spans="2:4" x14ac:dyDescent="0.2">
      <c r="B16" s="7" t="s">
        <v>22</v>
      </c>
      <c r="D16" s="4">
        <v>240</v>
      </c>
    </row>
    <row r="17" spans="2:4" x14ac:dyDescent="0.2">
      <c r="B17" s="7" t="s">
        <v>23</v>
      </c>
      <c r="D17" s="4">
        <v>300</v>
      </c>
    </row>
    <row r="18" spans="2:4" x14ac:dyDescent="0.2">
      <c r="B18" s="7" t="s">
        <v>24</v>
      </c>
      <c r="D18" s="4">
        <v>240</v>
      </c>
    </row>
    <row r="19" spans="2:4" x14ac:dyDescent="0.2">
      <c r="B19" s="7" t="s">
        <v>25</v>
      </c>
      <c r="D19" s="4">
        <v>485</v>
      </c>
    </row>
    <row r="20" spans="2:4" x14ac:dyDescent="0.2">
      <c r="B20" s="7" t="s">
        <v>26</v>
      </c>
      <c r="D20" s="4">
        <v>390</v>
      </c>
    </row>
    <row r="21" spans="2:4" x14ac:dyDescent="0.2">
      <c r="B21" s="7" t="s">
        <v>27</v>
      </c>
      <c r="D21" s="4">
        <v>500</v>
      </c>
    </row>
    <row r="22" spans="2:4" x14ac:dyDescent="0.2">
      <c r="B22" s="7" t="s">
        <v>28</v>
      </c>
      <c r="D22" s="4">
        <v>-500</v>
      </c>
    </row>
    <row r="23" spans="2:4" x14ac:dyDescent="0.2">
      <c r="B23" s="7" t="s">
        <v>29</v>
      </c>
      <c r="D23" s="4">
        <v>-400</v>
      </c>
    </row>
    <row r="24" spans="2:4" x14ac:dyDescent="0.2">
      <c r="B24" s="7" t="s">
        <v>30</v>
      </c>
      <c r="D24" s="4">
        <v>-300</v>
      </c>
    </row>
    <row r="25" spans="2:4" x14ac:dyDescent="0.2">
      <c r="B25" s="7" t="s">
        <v>31</v>
      </c>
      <c r="D25" s="4">
        <v>-650</v>
      </c>
    </row>
    <row r="26" spans="2:4" x14ac:dyDescent="0.2">
      <c r="B26" s="7" t="s">
        <v>32</v>
      </c>
      <c r="D26" s="4">
        <v>-650</v>
      </c>
    </row>
    <row r="27" spans="2:4" x14ac:dyDescent="0.2">
      <c r="B27" s="7" t="s">
        <v>33</v>
      </c>
      <c r="D27" s="4">
        <v>-650</v>
      </c>
    </row>
    <row r="28" spans="2:4" x14ac:dyDescent="0.2">
      <c r="B28" s="7" t="s">
        <v>34</v>
      </c>
      <c r="D28" s="4">
        <v>-400</v>
      </c>
    </row>
    <row r="29" spans="2:4" x14ac:dyDescent="0.2">
      <c r="B29" s="7" t="s">
        <v>35</v>
      </c>
      <c r="D29" s="4">
        <v>-2030</v>
      </c>
    </row>
    <row r="30" spans="2:4" x14ac:dyDescent="0.2">
      <c r="B30" s="7" t="s">
        <v>36</v>
      </c>
      <c r="D30" s="4">
        <v>-600</v>
      </c>
    </row>
    <row r="31" spans="2:4" x14ac:dyDescent="0.2">
      <c r="B31" s="13"/>
      <c r="D31" s="4"/>
    </row>
    <row r="32" spans="2:4" x14ac:dyDescent="0.2">
      <c r="B32" s="13"/>
      <c r="D32" s="4"/>
    </row>
    <row r="33" spans="2:4" x14ac:dyDescent="0.2">
      <c r="B33" s="13"/>
      <c r="D33" s="4"/>
    </row>
    <row r="34" spans="2:4" x14ac:dyDescent="0.2">
      <c r="B34" s="13"/>
      <c r="D34" s="4"/>
    </row>
    <row r="35" spans="2:4" x14ac:dyDescent="0.2">
      <c r="B35" s="13"/>
      <c r="D35" s="4"/>
    </row>
    <row r="36" spans="2:4" x14ac:dyDescent="0.2">
      <c r="B36" s="13"/>
      <c r="D36" s="4"/>
    </row>
    <row r="37" spans="2:4" x14ac:dyDescent="0.2">
      <c r="B37" s="13"/>
      <c r="D37" s="4"/>
    </row>
    <row r="38" spans="2:4" x14ac:dyDescent="0.2">
      <c r="B38" s="13"/>
      <c r="D38" s="4"/>
    </row>
    <row r="39" spans="2:4" x14ac:dyDescent="0.2">
      <c r="B39" s="13"/>
      <c r="D39" s="4"/>
    </row>
    <row r="40" spans="2:4" x14ac:dyDescent="0.2">
      <c r="B40" s="13"/>
      <c r="D40" s="4"/>
    </row>
    <row r="41" spans="2:4" x14ac:dyDescent="0.2">
      <c r="B41" s="13"/>
      <c r="D41" s="4"/>
    </row>
    <row r="42" spans="2:4" x14ac:dyDescent="0.2">
      <c r="B42" s="13"/>
      <c r="D42" s="4"/>
    </row>
    <row r="43" spans="2:4" x14ac:dyDescent="0.2">
      <c r="B43" s="13"/>
      <c r="D43" s="4"/>
    </row>
    <row r="44" spans="2:4" x14ac:dyDescent="0.2">
      <c r="B44" s="13"/>
      <c r="D44" s="4"/>
    </row>
    <row r="45" spans="2:4" x14ac:dyDescent="0.2">
      <c r="B45" s="13"/>
      <c r="D45" s="4"/>
    </row>
    <row r="46" spans="2:4" x14ac:dyDescent="0.2">
      <c r="B46" s="13"/>
      <c r="D46" s="4"/>
    </row>
    <row r="77" spans="13:13" x14ac:dyDescent="0.2">
      <c r="M77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Assets</vt:lpstr>
      <vt:lpstr>Liabilities</vt:lpstr>
      <vt:lpstr>Reasons</vt:lpstr>
      <vt:lpstr>Balance Sheet</vt:lpstr>
      <vt:lpstr>Income Statement</vt:lpstr>
      <vt:lpstr>St_Members_Capital</vt:lpstr>
      <vt:lpstr>Cash_Flow_Statement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Antle, Rick</cp:lastModifiedBy>
  <dcterms:created xsi:type="dcterms:W3CDTF">2026-07-13T01:48:13Z</dcterms:created>
  <dcterms:modified xsi:type="dcterms:W3CDTF">2026-07-13T18:22:22Z</dcterms:modified>
</cp:coreProperties>
</file>