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1/Courses-Local/Instructional_Redesign_v2/"/>
    </mc:Choice>
  </mc:AlternateContent>
  <xr:revisionPtr revIDLastSave="0" documentId="13_ncr:1_{D8BE6F69-9C41-FF45-B664-2ED8510043E7}" xr6:coauthVersionLast="47" xr6:coauthVersionMax="47" xr10:uidLastSave="{00000000-0000-0000-0000-000000000000}"/>
  <bookViews>
    <workbookView xWindow="43080" yWindow="3000" windowWidth="33460" windowHeight="26100" activeTab="5" xr2:uid="{00000000-000D-0000-FFFF-FFFF00000000}"/>
  </bookViews>
  <sheets>
    <sheet name="0 · Data copied in" sheetId="1" r:id="rId1"/>
    <sheet name="1 · Pick — Revenue or Expense" sheetId="2" r:id="rId2"/>
    <sheet name="2 · Sort — Revenue &amp; Expenses" sheetId="3" r:id="rId3"/>
    <sheet name="3 · Pick — kind of expense" sheetId="4" r:id="rId4"/>
    <sheet name="4 · Sort expenses by kind" sheetId="5" r:id="rId5"/>
    <sheet name="5 · Format stat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D6" i="6"/>
  <c r="D14" i="6" s="1"/>
  <c r="D38" i="5"/>
  <c r="D33" i="5"/>
  <c r="D27" i="5"/>
  <c r="D40" i="5" s="1"/>
  <c r="D42" i="5" s="1"/>
  <c r="D55" i="3"/>
  <c r="D53" i="3"/>
  <c r="D26" i="3"/>
</calcChain>
</file>

<file path=xl/sharedStrings.xml><?xml version="1.0" encoding="utf-8"?>
<sst xmlns="http://schemas.openxmlformats.org/spreadsheetml/2006/main" count="294" uniqueCount="89">
  <si>
    <t>Income Statement</t>
  </si>
  <si>
    <t>For the period June 1 – August 31, 2026</t>
  </si>
  <si>
    <t>Rent used — June</t>
  </si>
  <si>
    <t>Repair collected — Dana R.</t>
  </si>
  <si>
    <t>Parts used — Dana R.</t>
  </si>
  <si>
    <t>Repair collected — Marcus T.</t>
  </si>
  <si>
    <t>Repair collected — Priya S.</t>
  </si>
  <si>
    <t>Parts used — Priya S.</t>
  </si>
  <si>
    <t>Repair collected — Liam O.</t>
  </si>
  <si>
    <t>Parts used — Liam O.</t>
  </si>
  <si>
    <t>Repair collected — Sofia M.</t>
  </si>
  <si>
    <t>Repair collected — Jamal W.</t>
  </si>
  <si>
    <t>Parts used — Jamal W.</t>
  </si>
  <si>
    <t>Repair collected — Erin K.</t>
  </si>
  <si>
    <t>Parts used — Erin K.</t>
  </si>
  <si>
    <t>Repair collected — Noah B.</t>
  </si>
  <si>
    <t>Parts used — Noah B.</t>
  </si>
  <si>
    <t>Rent used — July</t>
  </si>
  <si>
    <t>Repair collected — Grace L.</t>
  </si>
  <si>
    <t>Parts used — Grace L.</t>
  </si>
  <si>
    <t>Repair collected — Theo H.</t>
  </si>
  <si>
    <t>Parts used — Theo H.</t>
  </si>
  <si>
    <t>Repair collected — Maya P.</t>
  </si>
  <si>
    <t>Parts used — Maya P.</t>
  </si>
  <si>
    <t>Repair collected — Owen C.</t>
  </si>
  <si>
    <t>Parts used — Owen C.</t>
  </si>
  <si>
    <t>Repair collected — Ava D.</t>
  </si>
  <si>
    <t>Parts used — Ava D.</t>
  </si>
  <si>
    <t>Repair collected — Leo F.</t>
  </si>
  <si>
    <t>Parts used — Leo F.</t>
  </si>
  <si>
    <t>Repair collected — Nina V.</t>
  </si>
  <si>
    <t>Parts used — Nina V.</t>
  </si>
  <si>
    <t>Rent used — August</t>
  </si>
  <si>
    <t>Repair collected — Caleb G.</t>
  </si>
  <si>
    <t>Parts used — Caleb G.</t>
  </si>
  <si>
    <t>Repair collected — Ruth A.</t>
  </si>
  <si>
    <t>Parts used — Ruth A.</t>
  </si>
  <si>
    <t>Repair collected — Sam Q.</t>
  </si>
  <si>
    <t>Parts used — Sam Q.</t>
  </si>
  <si>
    <t>Repair collected — Westville Bike Share</t>
  </si>
  <si>
    <t>Parts used — Westville Bike Share</t>
  </si>
  <si>
    <t>Repair delivered — Ridgeline Trail Crew, billed net 15 (unpaid)</t>
  </si>
  <si>
    <t>Parts used — Ridgeline Trail Crew</t>
  </si>
  <si>
    <t>Frame delivered — J. Smith (deposit earned)</t>
  </si>
  <si>
    <t>Parts used — J. Smith</t>
  </si>
  <si>
    <t>Depreciation — tools, equipment &amp; fixtures, Summer 2026</t>
  </si>
  <si>
    <t>Depreciation — laptop, Summer 2026</t>
  </si>
  <si>
    <t>Item</t>
  </si>
  <si>
    <t>Category</t>
  </si>
  <si>
    <t>Amount</t>
  </si>
  <si>
    <t>Expense</t>
  </si>
  <si>
    <t>Revenue</t>
  </si>
  <si>
    <t>Total revenue</t>
  </si>
  <si>
    <t>Expenses</t>
  </si>
  <si>
    <t>Total expenses</t>
  </si>
  <si>
    <t>Net income</t>
  </si>
  <si>
    <t>Kind</t>
  </si>
  <si>
    <t>Rent</t>
  </si>
  <si>
    <t>Parts Used</t>
  </si>
  <si>
    <t>Depreciation</t>
  </si>
  <si>
    <t xml:space="preserve">    Parts used — Dana R.</t>
  </si>
  <si>
    <t xml:space="preserve">    Parts used — Priya S.</t>
  </si>
  <si>
    <t xml:space="preserve">    Parts used — Liam O.</t>
  </si>
  <si>
    <t xml:space="preserve">    Parts used — Jamal W.</t>
  </si>
  <si>
    <t xml:space="preserve">    Parts used — Erin K.</t>
  </si>
  <si>
    <t xml:space="preserve">    Parts used — Noah B.</t>
  </si>
  <si>
    <t xml:space="preserve">    Parts used — Grace L.</t>
  </si>
  <si>
    <t xml:space="preserve">    Parts used — Theo H.</t>
  </si>
  <si>
    <t xml:space="preserve">    Parts used — Maya P.</t>
  </si>
  <si>
    <t xml:space="preserve">    Parts used — Owen C.</t>
  </si>
  <si>
    <t xml:space="preserve">    Parts used — Ava D.</t>
  </si>
  <si>
    <t xml:space="preserve">    Parts used — Leo F.</t>
  </si>
  <si>
    <t xml:space="preserve">    Parts used — Nina V.</t>
  </si>
  <si>
    <t xml:space="preserve">    Parts used — Caleb G.</t>
  </si>
  <si>
    <t xml:space="preserve">    Parts used — Ruth A.</t>
  </si>
  <si>
    <t xml:space="preserve">    Parts used — Sam Q.</t>
  </si>
  <si>
    <t xml:space="preserve">    Parts used — Westville Bike Share</t>
  </si>
  <si>
    <t xml:space="preserve">    Parts used — Ridgeline Trail Crew</t>
  </si>
  <si>
    <t xml:space="preserve">    Parts used — J. Smith</t>
  </si>
  <si>
    <t>Parts Used — subtotal</t>
  </si>
  <si>
    <t xml:space="preserve">    Rent used — June</t>
  </si>
  <si>
    <t xml:space="preserve">    Rent used — July</t>
  </si>
  <si>
    <t xml:space="preserve">    Rent used — August</t>
  </si>
  <si>
    <t>Rent — subtotal</t>
  </si>
  <si>
    <t xml:space="preserve">    Depreciation — tools, equipment &amp; fixtures, Summer 2026</t>
  </si>
  <si>
    <t xml:space="preserve">    Depreciation — laptop, Summer 2026</t>
  </si>
  <si>
    <t>Depreciation — subtotal</t>
  </si>
  <si>
    <t>Repair services</t>
  </si>
  <si>
    <t>Parts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</si>
</sst>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\$#,##0;\(\$#,##0\)"/>
    <numFmt numFmtId="168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color theme="1" tint="0.34998626667073579"/>
      <name val="Calibri"/>
      <family val="2"/>
    </font>
    <font>
      <b/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/>
    <xf numFmtId="0" fontId="3" fillId="4" borderId="2" xfId="0" applyFont="1" applyFill="1" applyBorder="1"/>
    <xf numFmtId="0" fontId="0" fillId="4" borderId="2" xfId="0" applyFill="1" applyBorder="1"/>
    <xf numFmtId="164" fontId="4" fillId="4" borderId="2" xfId="0" applyNumberFormat="1" applyFont="1" applyFill="1" applyBorder="1"/>
    <xf numFmtId="0" fontId="4" fillId="3" borderId="0" xfId="0" applyFont="1" applyFill="1" applyAlignment="1">
      <alignment horizontal="center"/>
    </xf>
    <xf numFmtId="0" fontId="6" fillId="0" borderId="0" xfId="0" applyFont="1"/>
    <xf numFmtId="164" fontId="4" fillId="0" borderId="3" xfId="0" applyNumberFormat="1" applyFont="1" applyBorder="1"/>
    <xf numFmtId="168" fontId="3" fillId="0" borderId="0" xfId="0" applyNumberFormat="1" applyFont="1"/>
    <xf numFmtId="168" fontId="4" fillId="4" borderId="2" xfId="0" applyNumberFormat="1" applyFont="1" applyFill="1" applyBorder="1"/>
    <xf numFmtId="4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8"/>
  <sheetViews>
    <sheetView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3" t="s">
        <v>2</v>
      </c>
      <c r="D4" s="4">
        <v>-650</v>
      </c>
    </row>
    <row r="5" spans="2:4" x14ac:dyDescent="0.2">
      <c r="B5" s="3" t="s">
        <v>3</v>
      </c>
      <c r="D5" s="4">
        <v>120</v>
      </c>
    </row>
    <row r="6" spans="2:4" x14ac:dyDescent="0.2">
      <c r="B6" s="3" t="s">
        <v>4</v>
      </c>
      <c r="D6" s="4">
        <v>-10</v>
      </c>
    </row>
    <row r="7" spans="2:4" x14ac:dyDescent="0.2">
      <c r="B7" s="3" t="s">
        <v>5</v>
      </c>
      <c r="D7" s="4">
        <v>150</v>
      </c>
    </row>
    <row r="8" spans="2:4" x14ac:dyDescent="0.2">
      <c r="B8" s="3" t="s">
        <v>6</v>
      </c>
      <c r="D8" s="4">
        <v>270</v>
      </c>
    </row>
    <row r="9" spans="2:4" x14ac:dyDescent="0.2">
      <c r="B9" s="3" t="s">
        <v>7</v>
      </c>
      <c r="D9" s="4">
        <v>-25</v>
      </c>
    </row>
    <row r="10" spans="2:4" x14ac:dyDescent="0.2">
      <c r="B10" s="3" t="s">
        <v>8</v>
      </c>
      <c r="D10" s="4">
        <v>300</v>
      </c>
    </row>
    <row r="11" spans="2:4" x14ac:dyDescent="0.2">
      <c r="B11" s="3" t="s">
        <v>9</v>
      </c>
      <c r="D11" s="4">
        <v>-95</v>
      </c>
    </row>
    <row r="12" spans="2:4" x14ac:dyDescent="0.2">
      <c r="B12" s="3" t="s">
        <v>10</v>
      </c>
      <c r="D12" s="4">
        <v>150</v>
      </c>
    </row>
    <row r="13" spans="2:4" x14ac:dyDescent="0.2">
      <c r="B13" s="3" t="s">
        <v>11</v>
      </c>
      <c r="D13" s="4">
        <v>360</v>
      </c>
    </row>
    <row r="14" spans="2:4" x14ac:dyDescent="0.2">
      <c r="B14" s="3" t="s">
        <v>12</v>
      </c>
      <c r="D14" s="4">
        <v>-60</v>
      </c>
    </row>
    <row r="15" spans="2:4" x14ac:dyDescent="0.2">
      <c r="B15" s="3" t="s">
        <v>13</v>
      </c>
      <c r="D15" s="4">
        <v>225</v>
      </c>
    </row>
    <row r="16" spans="2:4" x14ac:dyDescent="0.2">
      <c r="B16" s="3" t="s">
        <v>14</v>
      </c>
      <c r="D16" s="4">
        <v>-40</v>
      </c>
    </row>
    <row r="17" spans="2:4" x14ac:dyDescent="0.2">
      <c r="B17" s="3" t="s">
        <v>15</v>
      </c>
      <c r="D17" s="4">
        <v>210</v>
      </c>
    </row>
    <row r="18" spans="2:4" x14ac:dyDescent="0.2">
      <c r="B18" s="3" t="s">
        <v>16</v>
      </c>
      <c r="D18" s="4">
        <v>-65</v>
      </c>
    </row>
    <row r="19" spans="2:4" x14ac:dyDescent="0.2">
      <c r="B19" s="3" t="s">
        <v>17</v>
      </c>
      <c r="D19" s="4">
        <v>-650</v>
      </c>
    </row>
    <row r="20" spans="2:4" x14ac:dyDescent="0.2">
      <c r="B20" s="3" t="s">
        <v>18</v>
      </c>
      <c r="D20" s="4">
        <v>240</v>
      </c>
    </row>
    <row r="21" spans="2:4" x14ac:dyDescent="0.2">
      <c r="B21" s="3" t="s">
        <v>19</v>
      </c>
      <c r="D21" s="4">
        <v>-35</v>
      </c>
    </row>
    <row r="22" spans="2:4" x14ac:dyDescent="0.2">
      <c r="B22" s="3" t="s">
        <v>20</v>
      </c>
      <c r="D22" s="4">
        <v>240</v>
      </c>
    </row>
    <row r="23" spans="2:4" x14ac:dyDescent="0.2">
      <c r="B23" s="3" t="s">
        <v>21</v>
      </c>
      <c r="D23" s="4">
        <v>-25</v>
      </c>
    </row>
    <row r="24" spans="2:4" x14ac:dyDescent="0.2">
      <c r="B24" s="3" t="s">
        <v>22</v>
      </c>
      <c r="D24" s="4">
        <v>450</v>
      </c>
    </row>
    <row r="25" spans="2:4" x14ac:dyDescent="0.2">
      <c r="B25" s="3" t="s">
        <v>23</v>
      </c>
      <c r="D25" s="4">
        <v>-125</v>
      </c>
    </row>
    <row r="26" spans="2:4" x14ac:dyDescent="0.2">
      <c r="B26" s="3" t="s">
        <v>24</v>
      </c>
      <c r="D26" s="4">
        <v>360</v>
      </c>
    </row>
    <row r="27" spans="2:4" x14ac:dyDescent="0.2">
      <c r="B27" s="3" t="s">
        <v>25</v>
      </c>
      <c r="D27" s="4">
        <v>-55</v>
      </c>
    </row>
    <row r="28" spans="2:4" x14ac:dyDescent="0.2">
      <c r="B28" s="3" t="s">
        <v>26</v>
      </c>
      <c r="D28" s="4">
        <v>270</v>
      </c>
    </row>
    <row r="29" spans="2:4" x14ac:dyDescent="0.2">
      <c r="B29" s="3" t="s">
        <v>27</v>
      </c>
      <c r="D29" s="4">
        <v>-45</v>
      </c>
    </row>
    <row r="30" spans="2:4" x14ac:dyDescent="0.2">
      <c r="B30" s="3" t="s">
        <v>28</v>
      </c>
      <c r="D30" s="4">
        <v>240</v>
      </c>
    </row>
    <row r="31" spans="2:4" x14ac:dyDescent="0.2">
      <c r="B31" s="3" t="s">
        <v>29</v>
      </c>
      <c r="D31" s="4">
        <v>-100</v>
      </c>
    </row>
    <row r="32" spans="2:4" x14ac:dyDescent="0.2">
      <c r="B32" s="3" t="s">
        <v>30</v>
      </c>
      <c r="D32" s="4">
        <v>300</v>
      </c>
    </row>
    <row r="33" spans="2:4" x14ac:dyDescent="0.2">
      <c r="B33" s="3" t="s">
        <v>31</v>
      </c>
      <c r="D33" s="4">
        <v>-80</v>
      </c>
    </row>
    <row r="34" spans="2:4" x14ac:dyDescent="0.2">
      <c r="B34" s="3" t="s">
        <v>32</v>
      </c>
      <c r="D34" s="4">
        <v>-650</v>
      </c>
    </row>
    <row r="35" spans="2:4" x14ac:dyDescent="0.2">
      <c r="B35" s="3" t="s">
        <v>33</v>
      </c>
      <c r="D35" s="4">
        <v>240</v>
      </c>
    </row>
    <row r="36" spans="2:4" x14ac:dyDescent="0.2">
      <c r="B36" s="3" t="s">
        <v>34</v>
      </c>
      <c r="D36" s="4">
        <v>-25</v>
      </c>
    </row>
    <row r="37" spans="2:4" x14ac:dyDescent="0.2">
      <c r="B37" s="3" t="s">
        <v>35</v>
      </c>
      <c r="D37" s="4">
        <v>485</v>
      </c>
    </row>
    <row r="38" spans="2:4" x14ac:dyDescent="0.2">
      <c r="B38" s="3" t="s">
        <v>36</v>
      </c>
      <c r="D38" s="4">
        <v>-129</v>
      </c>
    </row>
    <row r="39" spans="2:4" x14ac:dyDescent="0.2">
      <c r="B39" s="3" t="s">
        <v>37</v>
      </c>
      <c r="D39" s="4">
        <v>390</v>
      </c>
    </row>
    <row r="40" spans="2:4" x14ac:dyDescent="0.2">
      <c r="B40" s="3" t="s">
        <v>38</v>
      </c>
      <c r="D40" s="4">
        <v>-70</v>
      </c>
    </row>
    <row r="41" spans="2:4" x14ac:dyDescent="0.2">
      <c r="B41" s="3" t="s">
        <v>39</v>
      </c>
      <c r="D41" s="4">
        <v>500</v>
      </c>
    </row>
    <row r="42" spans="2:4" x14ac:dyDescent="0.2">
      <c r="B42" s="3" t="s">
        <v>40</v>
      </c>
      <c r="D42" s="4">
        <v>-105</v>
      </c>
    </row>
    <row r="43" spans="2:4" x14ac:dyDescent="0.2">
      <c r="B43" s="3" t="s">
        <v>41</v>
      </c>
      <c r="D43" s="4">
        <v>300</v>
      </c>
    </row>
    <row r="44" spans="2:4" x14ac:dyDescent="0.2">
      <c r="B44" s="3" t="s">
        <v>42</v>
      </c>
      <c r="D44" s="4">
        <v>-75</v>
      </c>
    </row>
    <row r="45" spans="2:4" x14ac:dyDescent="0.2">
      <c r="B45" s="3" t="s">
        <v>43</v>
      </c>
      <c r="D45" s="4">
        <v>220</v>
      </c>
    </row>
    <row r="46" spans="2:4" x14ac:dyDescent="0.2">
      <c r="B46" s="3" t="s">
        <v>44</v>
      </c>
      <c r="D46" s="4">
        <v>-36</v>
      </c>
    </row>
    <row r="47" spans="2:4" x14ac:dyDescent="0.2">
      <c r="B47" s="3" t="s">
        <v>45</v>
      </c>
      <c r="D47" s="4">
        <v>-200</v>
      </c>
    </row>
    <row r="48" spans="2:4" x14ac:dyDescent="0.2">
      <c r="B48" s="3" t="s">
        <v>46</v>
      </c>
      <c r="D48" s="4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8"/>
  <sheetViews>
    <sheetView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15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3" spans="2:4" x14ac:dyDescent="0.2">
      <c r="B3" s="5" t="s">
        <v>47</v>
      </c>
      <c r="C3" s="6" t="s">
        <v>48</v>
      </c>
      <c r="D3" s="5" t="s">
        <v>49</v>
      </c>
    </row>
    <row r="4" spans="2:4" x14ac:dyDescent="0.2">
      <c r="B4" s="3" t="s">
        <v>2</v>
      </c>
      <c r="C4" s="7" t="s">
        <v>50</v>
      </c>
      <c r="D4" s="4">
        <v>-650</v>
      </c>
    </row>
    <row r="5" spans="2:4" x14ac:dyDescent="0.2">
      <c r="B5" s="3" t="s">
        <v>3</v>
      </c>
      <c r="C5" s="7" t="s">
        <v>51</v>
      </c>
      <c r="D5" s="4">
        <v>120</v>
      </c>
    </row>
    <row r="6" spans="2:4" x14ac:dyDescent="0.2">
      <c r="B6" s="3" t="s">
        <v>4</v>
      </c>
      <c r="C6" s="7" t="s">
        <v>50</v>
      </c>
      <c r="D6" s="4">
        <v>-10</v>
      </c>
    </row>
    <row r="7" spans="2:4" x14ac:dyDescent="0.2">
      <c r="B7" s="3" t="s">
        <v>5</v>
      </c>
      <c r="C7" s="7" t="s">
        <v>51</v>
      </c>
      <c r="D7" s="4">
        <v>150</v>
      </c>
    </row>
    <row r="8" spans="2:4" x14ac:dyDescent="0.2">
      <c r="B8" s="3" t="s">
        <v>6</v>
      </c>
      <c r="C8" s="7" t="s">
        <v>51</v>
      </c>
      <c r="D8" s="4">
        <v>270</v>
      </c>
    </row>
    <row r="9" spans="2:4" x14ac:dyDescent="0.2">
      <c r="B9" s="3" t="s">
        <v>7</v>
      </c>
      <c r="C9" s="7" t="s">
        <v>50</v>
      </c>
      <c r="D9" s="4">
        <v>-25</v>
      </c>
    </row>
    <row r="10" spans="2:4" x14ac:dyDescent="0.2">
      <c r="B10" s="3" t="s">
        <v>8</v>
      </c>
      <c r="C10" s="7" t="s">
        <v>51</v>
      </c>
      <c r="D10" s="4">
        <v>300</v>
      </c>
    </row>
    <row r="11" spans="2:4" x14ac:dyDescent="0.2">
      <c r="B11" s="3" t="s">
        <v>9</v>
      </c>
      <c r="C11" s="7" t="s">
        <v>50</v>
      </c>
      <c r="D11" s="4">
        <v>-95</v>
      </c>
    </row>
    <row r="12" spans="2:4" x14ac:dyDescent="0.2">
      <c r="B12" s="3" t="s">
        <v>10</v>
      </c>
      <c r="C12" s="7" t="s">
        <v>51</v>
      </c>
      <c r="D12" s="4">
        <v>150</v>
      </c>
    </row>
    <row r="13" spans="2:4" x14ac:dyDescent="0.2">
      <c r="B13" s="3" t="s">
        <v>11</v>
      </c>
      <c r="C13" s="7" t="s">
        <v>51</v>
      </c>
      <c r="D13" s="4">
        <v>360</v>
      </c>
    </row>
    <row r="14" spans="2:4" x14ac:dyDescent="0.2">
      <c r="B14" s="3" t="s">
        <v>12</v>
      </c>
      <c r="C14" s="7" t="s">
        <v>50</v>
      </c>
      <c r="D14" s="4">
        <v>-60</v>
      </c>
    </row>
    <row r="15" spans="2:4" x14ac:dyDescent="0.2">
      <c r="B15" s="3" t="s">
        <v>13</v>
      </c>
      <c r="C15" s="7" t="s">
        <v>51</v>
      </c>
      <c r="D15" s="4">
        <v>225</v>
      </c>
    </row>
    <row r="16" spans="2:4" x14ac:dyDescent="0.2">
      <c r="B16" s="3" t="s">
        <v>14</v>
      </c>
      <c r="C16" s="7" t="s">
        <v>50</v>
      </c>
      <c r="D16" s="4">
        <v>-40</v>
      </c>
    </row>
    <row r="17" spans="2:4" x14ac:dyDescent="0.2">
      <c r="B17" s="3" t="s">
        <v>15</v>
      </c>
      <c r="C17" s="7" t="s">
        <v>51</v>
      </c>
      <c r="D17" s="4">
        <v>210</v>
      </c>
    </row>
    <row r="18" spans="2:4" x14ac:dyDescent="0.2">
      <c r="B18" s="3" t="s">
        <v>16</v>
      </c>
      <c r="C18" s="7" t="s">
        <v>50</v>
      </c>
      <c r="D18" s="4">
        <v>-65</v>
      </c>
    </row>
    <row r="19" spans="2:4" x14ac:dyDescent="0.2">
      <c r="B19" s="3" t="s">
        <v>17</v>
      </c>
      <c r="C19" s="7" t="s">
        <v>50</v>
      </c>
      <c r="D19" s="4">
        <v>-650</v>
      </c>
    </row>
    <row r="20" spans="2:4" x14ac:dyDescent="0.2">
      <c r="B20" s="3" t="s">
        <v>18</v>
      </c>
      <c r="C20" s="7" t="s">
        <v>51</v>
      </c>
      <c r="D20" s="4">
        <v>240</v>
      </c>
    </row>
    <row r="21" spans="2:4" x14ac:dyDescent="0.2">
      <c r="B21" s="3" t="s">
        <v>19</v>
      </c>
      <c r="C21" s="7" t="s">
        <v>50</v>
      </c>
      <c r="D21" s="4">
        <v>-35</v>
      </c>
    </row>
    <row r="22" spans="2:4" x14ac:dyDescent="0.2">
      <c r="B22" s="3" t="s">
        <v>20</v>
      </c>
      <c r="C22" s="7" t="s">
        <v>51</v>
      </c>
      <c r="D22" s="4">
        <v>240</v>
      </c>
    </row>
    <row r="23" spans="2:4" x14ac:dyDescent="0.2">
      <c r="B23" s="3" t="s">
        <v>21</v>
      </c>
      <c r="C23" s="7" t="s">
        <v>50</v>
      </c>
      <c r="D23" s="4">
        <v>-25</v>
      </c>
    </row>
    <row r="24" spans="2:4" x14ac:dyDescent="0.2">
      <c r="B24" s="3" t="s">
        <v>22</v>
      </c>
      <c r="C24" s="7" t="s">
        <v>51</v>
      </c>
      <c r="D24" s="4">
        <v>450</v>
      </c>
    </row>
    <row r="25" spans="2:4" x14ac:dyDescent="0.2">
      <c r="B25" s="3" t="s">
        <v>23</v>
      </c>
      <c r="C25" s="7" t="s">
        <v>50</v>
      </c>
      <c r="D25" s="4">
        <v>-125</v>
      </c>
    </row>
    <row r="26" spans="2:4" x14ac:dyDescent="0.2">
      <c r="B26" s="3" t="s">
        <v>24</v>
      </c>
      <c r="C26" s="7" t="s">
        <v>51</v>
      </c>
      <c r="D26" s="4">
        <v>360</v>
      </c>
    </row>
    <row r="27" spans="2:4" x14ac:dyDescent="0.2">
      <c r="B27" s="3" t="s">
        <v>25</v>
      </c>
      <c r="C27" s="7" t="s">
        <v>50</v>
      </c>
      <c r="D27" s="4">
        <v>-55</v>
      </c>
    </row>
    <row r="28" spans="2:4" x14ac:dyDescent="0.2">
      <c r="B28" s="3" t="s">
        <v>26</v>
      </c>
      <c r="C28" s="7" t="s">
        <v>51</v>
      </c>
      <c r="D28" s="4">
        <v>270</v>
      </c>
    </row>
    <row r="29" spans="2:4" x14ac:dyDescent="0.2">
      <c r="B29" s="3" t="s">
        <v>27</v>
      </c>
      <c r="C29" s="7" t="s">
        <v>50</v>
      </c>
      <c r="D29" s="4">
        <v>-45</v>
      </c>
    </row>
    <row r="30" spans="2:4" x14ac:dyDescent="0.2">
      <c r="B30" s="3" t="s">
        <v>28</v>
      </c>
      <c r="C30" s="7" t="s">
        <v>51</v>
      </c>
      <c r="D30" s="4">
        <v>240</v>
      </c>
    </row>
    <row r="31" spans="2:4" x14ac:dyDescent="0.2">
      <c r="B31" s="3" t="s">
        <v>29</v>
      </c>
      <c r="C31" s="7" t="s">
        <v>50</v>
      </c>
      <c r="D31" s="4">
        <v>-100</v>
      </c>
    </row>
    <row r="32" spans="2:4" x14ac:dyDescent="0.2">
      <c r="B32" s="3" t="s">
        <v>30</v>
      </c>
      <c r="C32" s="7" t="s">
        <v>51</v>
      </c>
      <c r="D32" s="4">
        <v>300</v>
      </c>
    </row>
    <row r="33" spans="2:4" x14ac:dyDescent="0.2">
      <c r="B33" s="3" t="s">
        <v>31</v>
      </c>
      <c r="C33" s="7" t="s">
        <v>50</v>
      </c>
      <c r="D33" s="4">
        <v>-80</v>
      </c>
    </row>
    <row r="34" spans="2:4" x14ac:dyDescent="0.2">
      <c r="B34" s="3" t="s">
        <v>32</v>
      </c>
      <c r="C34" s="7" t="s">
        <v>50</v>
      </c>
      <c r="D34" s="4">
        <v>-650</v>
      </c>
    </row>
    <row r="35" spans="2:4" x14ac:dyDescent="0.2">
      <c r="B35" s="3" t="s">
        <v>33</v>
      </c>
      <c r="C35" s="7" t="s">
        <v>51</v>
      </c>
      <c r="D35" s="4">
        <v>240</v>
      </c>
    </row>
    <row r="36" spans="2:4" x14ac:dyDescent="0.2">
      <c r="B36" s="3" t="s">
        <v>34</v>
      </c>
      <c r="C36" s="7" t="s">
        <v>50</v>
      </c>
      <c r="D36" s="4">
        <v>-25</v>
      </c>
    </row>
    <row r="37" spans="2:4" x14ac:dyDescent="0.2">
      <c r="B37" s="3" t="s">
        <v>35</v>
      </c>
      <c r="C37" s="7" t="s">
        <v>51</v>
      </c>
      <c r="D37" s="4">
        <v>485</v>
      </c>
    </row>
    <row r="38" spans="2:4" x14ac:dyDescent="0.2">
      <c r="B38" s="3" t="s">
        <v>36</v>
      </c>
      <c r="C38" s="7" t="s">
        <v>50</v>
      </c>
      <c r="D38" s="4">
        <v>-129</v>
      </c>
    </row>
    <row r="39" spans="2:4" x14ac:dyDescent="0.2">
      <c r="B39" s="3" t="s">
        <v>37</v>
      </c>
      <c r="C39" s="7" t="s">
        <v>51</v>
      </c>
      <c r="D39" s="4">
        <v>390</v>
      </c>
    </row>
    <row r="40" spans="2:4" x14ac:dyDescent="0.2">
      <c r="B40" s="3" t="s">
        <v>38</v>
      </c>
      <c r="C40" s="7" t="s">
        <v>50</v>
      </c>
      <c r="D40" s="4">
        <v>-70</v>
      </c>
    </row>
    <row r="41" spans="2:4" x14ac:dyDescent="0.2">
      <c r="B41" s="3" t="s">
        <v>39</v>
      </c>
      <c r="C41" s="7" t="s">
        <v>51</v>
      </c>
      <c r="D41" s="4">
        <v>500</v>
      </c>
    </row>
    <row r="42" spans="2:4" x14ac:dyDescent="0.2">
      <c r="B42" s="3" t="s">
        <v>40</v>
      </c>
      <c r="C42" s="7" t="s">
        <v>50</v>
      </c>
      <c r="D42" s="4">
        <v>-105</v>
      </c>
    </row>
    <row r="43" spans="2:4" x14ac:dyDescent="0.2">
      <c r="B43" s="3" t="s">
        <v>41</v>
      </c>
      <c r="C43" s="7" t="s">
        <v>51</v>
      </c>
      <c r="D43" s="4">
        <v>300</v>
      </c>
    </row>
    <row r="44" spans="2:4" x14ac:dyDescent="0.2">
      <c r="B44" s="3" t="s">
        <v>42</v>
      </c>
      <c r="C44" s="7" t="s">
        <v>50</v>
      </c>
      <c r="D44" s="4">
        <v>-75</v>
      </c>
    </row>
    <row r="45" spans="2:4" x14ac:dyDescent="0.2">
      <c r="B45" s="3" t="s">
        <v>43</v>
      </c>
      <c r="C45" s="7" t="s">
        <v>51</v>
      </c>
      <c r="D45" s="4">
        <v>220</v>
      </c>
    </row>
    <row r="46" spans="2:4" x14ac:dyDescent="0.2">
      <c r="B46" s="3" t="s">
        <v>44</v>
      </c>
      <c r="C46" s="7" t="s">
        <v>50</v>
      </c>
      <c r="D46" s="4">
        <v>-36</v>
      </c>
    </row>
    <row r="47" spans="2:4" x14ac:dyDescent="0.2">
      <c r="B47" s="3" t="s">
        <v>45</v>
      </c>
      <c r="C47" s="7" t="s">
        <v>50</v>
      </c>
      <c r="D47" s="4">
        <v>-200</v>
      </c>
    </row>
    <row r="48" spans="2:4" x14ac:dyDescent="0.2">
      <c r="B48" s="3" t="s">
        <v>46</v>
      </c>
      <c r="C48" s="7" t="s">
        <v>50</v>
      </c>
      <c r="D48" s="4">
        <v>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5"/>
  <sheetViews>
    <sheetView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8" t="s">
        <v>51</v>
      </c>
      <c r="C4" s="8"/>
      <c r="D4" s="8"/>
    </row>
    <row r="5" spans="2:4" x14ac:dyDescent="0.2">
      <c r="B5" s="3" t="s">
        <v>3</v>
      </c>
      <c r="D5" s="4">
        <v>120</v>
      </c>
    </row>
    <row r="6" spans="2:4" x14ac:dyDescent="0.2">
      <c r="B6" s="3" t="s">
        <v>5</v>
      </c>
      <c r="D6" s="4">
        <v>150</v>
      </c>
    </row>
    <row r="7" spans="2:4" x14ac:dyDescent="0.2">
      <c r="B7" s="3" t="s">
        <v>6</v>
      </c>
      <c r="D7" s="4">
        <v>270</v>
      </c>
    </row>
    <row r="8" spans="2:4" x14ac:dyDescent="0.2">
      <c r="B8" s="3" t="s">
        <v>8</v>
      </c>
      <c r="D8" s="4">
        <v>300</v>
      </c>
    </row>
    <row r="9" spans="2:4" x14ac:dyDescent="0.2">
      <c r="B9" s="3" t="s">
        <v>10</v>
      </c>
      <c r="D9" s="4">
        <v>150</v>
      </c>
    </row>
    <row r="10" spans="2:4" x14ac:dyDescent="0.2">
      <c r="B10" s="3" t="s">
        <v>11</v>
      </c>
      <c r="D10" s="4">
        <v>360</v>
      </c>
    </row>
    <row r="11" spans="2:4" x14ac:dyDescent="0.2">
      <c r="B11" s="3" t="s">
        <v>13</v>
      </c>
      <c r="D11" s="4">
        <v>225</v>
      </c>
    </row>
    <row r="12" spans="2:4" x14ac:dyDescent="0.2">
      <c r="B12" s="3" t="s">
        <v>15</v>
      </c>
      <c r="D12" s="4">
        <v>210</v>
      </c>
    </row>
    <row r="13" spans="2:4" x14ac:dyDescent="0.2">
      <c r="B13" s="3" t="s">
        <v>18</v>
      </c>
      <c r="D13" s="4">
        <v>240</v>
      </c>
    </row>
    <row r="14" spans="2:4" x14ac:dyDescent="0.2">
      <c r="B14" s="3" t="s">
        <v>20</v>
      </c>
      <c r="D14" s="4">
        <v>240</v>
      </c>
    </row>
    <row r="15" spans="2:4" x14ac:dyDescent="0.2">
      <c r="B15" s="3" t="s">
        <v>22</v>
      </c>
      <c r="D15" s="4">
        <v>450</v>
      </c>
    </row>
    <row r="16" spans="2:4" x14ac:dyDescent="0.2">
      <c r="B16" s="3" t="s">
        <v>24</v>
      </c>
      <c r="D16" s="4">
        <v>360</v>
      </c>
    </row>
    <row r="17" spans="2:4" x14ac:dyDescent="0.2">
      <c r="B17" s="3" t="s">
        <v>26</v>
      </c>
      <c r="D17" s="4">
        <v>270</v>
      </c>
    </row>
    <row r="18" spans="2:4" x14ac:dyDescent="0.2">
      <c r="B18" s="3" t="s">
        <v>28</v>
      </c>
      <c r="D18" s="4">
        <v>240</v>
      </c>
    </row>
    <row r="19" spans="2:4" x14ac:dyDescent="0.2">
      <c r="B19" s="3" t="s">
        <v>30</v>
      </c>
      <c r="D19" s="4">
        <v>300</v>
      </c>
    </row>
    <row r="20" spans="2:4" x14ac:dyDescent="0.2">
      <c r="B20" s="3" t="s">
        <v>33</v>
      </c>
      <c r="D20" s="4">
        <v>240</v>
      </c>
    </row>
    <row r="21" spans="2:4" x14ac:dyDescent="0.2">
      <c r="B21" s="3" t="s">
        <v>35</v>
      </c>
      <c r="D21" s="4">
        <v>485</v>
      </c>
    </row>
    <row r="22" spans="2:4" x14ac:dyDescent="0.2">
      <c r="B22" s="3" t="s">
        <v>37</v>
      </c>
      <c r="D22" s="4">
        <v>390</v>
      </c>
    </row>
    <row r="23" spans="2:4" x14ac:dyDescent="0.2">
      <c r="B23" s="3" t="s">
        <v>39</v>
      </c>
      <c r="D23" s="4">
        <v>500</v>
      </c>
    </row>
    <row r="24" spans="2:4" x14ac:dyDescent="0.2">
      <c r="B24" s="3" t="s">
        <v>41</v>
      </c>
      <c r="D24" s="4">
        <v>300</v>
      </c>
    </row>
    <row r="25" spans="2:4" x14ac:dyDescent="0.2">
      <c r="B25" s="3" t="s">
        <v>43</v>
      </c>
      <c r="D25" s="4">
        <v>220</v>
      </c>
    </row>
    <row r="26" spans="2:4" x14ac:dyDescent="0.2">
      <c r="B26" s="9" t="s">
        <v>52</v>
      </c>
      <c r="C26" s="10"/>
      <c r="D26" s="11">
        <f>SUM(D5:D25)</f>
        <v>6020</v>
      </c>
    </row>
    <row r="28" spans="2:4" x14ac:dyDescent="0.2">
      <c r="B28" s="8" t="s">
        <v>53</v>
      </c>
      <c r="C28" s="8"/>
      <c r="D28" s="8"/>
    </row>
    <row r="29" spans="2:4" x14ac:dyDescent="0.2">
      <c r="B29" s="3" t="s">
        <v>2</v>
      </c>
      <c r="D29" s="4">
        <v>-650</v>
      </c>
    </row>
    <row r="30" spans="2:4" x14ac:dyDescent="0.2">
      <c r="B30" s="3" t="s">
        <v>4</v>
      </c>
      <c r="D30" s="4">
        <v>-10</v>
      </c>
    </row>
    <row r="31" spans="2:4" x14ac:dyDescent="0.2">
      <c r="B31" s="3" t="s">
        <v>7</v>
      </c>
      <c r="D31" s="4">
        <v>-25</v>
      </c>
    </row>
    <row r="32" spans="2:4" x14ac:dyDescent="0.2">
      <c r="B32" s="3" t="s">
        <v>9</v>
      </c>
      <c r="D32" s="4">
        <v>-95</v>
      </c>
    </row>
    <row r="33" spans="2:4" x14ac:dyDescent="0.2">
      <c r="B33" s="3" t="s">
        <v>12</v>
      </c>
      <c r="D33" s="4">
        <v>-60</v>
      </c>
    </row>
    <row r="34" spans="2:4" x14ac:dyDescent="0.2">
      <c r="B34" s="3" t="s">
        <v>14</v>
      </c>
      <c r="D34" s="4">
        <v>-40</v>
      </c>
    </row>
    <row r="35" spans="2:4" x14ac:dyDescent="0.2">
      <c r="B35" s="3" t="s">
        <v>16</v>
      </c>
      <c r="D35" s="4">
        <v>-65</v>
      </c>
    </row>
    <row r="36" spans="2:4" x14ac:dyDescent="0.2">
      <c r="B36" s="3" t="s">
        <v>17</v>
      </c>
      <c r="D36" s="4">
        <v>-650</v>
      </c>
    </row>
    <row r="37" spans="2:4" x14ac:dyDescent="0.2">
      <c r="B37" s="3" t="s">
        <v>19</v>
      </c>
      <c r="D37" s="4">
        <v>-35</v>
      </c>
    </row>
    <row r="38" spans="2:4" x14ac:dyDescent="0.2">
      <c r="B38" s="3" t="s">
        <v>21</v>
      </c>
      <c r="D38" s="4">
        <v>-25</v>
      </c>
    </row>
    <row r="39" spans="2:4" x14ac:dyDescent="0.2">
      <c r="B39" s="3" t="s">
        <v>23</v>
      </c>
      <c r="D39" s="4">
        <v>-125</v>
      </c>
    </row>
    <row r="40" spans="2:4" x14ac:dyDescent="0.2">
      <c r="B40" s="3" t="s">
        <v>25</v>
      </c>
      <c r="D40" s="4">
        <v>-55</v>
      </c>
    </row>
    <row r="41" spans="2:4" x14ac:dyDescent="0.2">
      <c r="B41" s="3" t="s">
        <v>27</v>
      </c>
      <c r="D41" s="4">
        <v>-45</v>
      </c>
    </row>
    <row r="42" spans="2:4" x14ac:dyDescent="0.2">
      <c r="B42" s="3" t="s">
        <v>29</v>
      </c>
      <c r="D42" s="4">
        <v>-100</v>
      </c>
    </row>
    <row r="43" spans="2:4" x14ac:dyDescent="0.2">
      <c r="B43" s="3" t="s">
        <v>31</v>
      </c>
      <c r="D43" s="4">
        <v>-80</v>
      </c>
    </row>
    <row r="44" spans="2:4" x14ac:dyDescent="0.2">
      <c r="B44" s="3" t="s">
        <v>32</v>
      </c>
      <c r="D44" s="4">
        <v>-650</v>
      </c>
    </row>
    <row r="45" spans="2:4" x14ac:dyDescent="0.2">
      <c r="B45" s="3" t="s">
        <v>34</v>
      </c>
      <c r="D45" s="4">
        <v>-25</v>
      </c>
    </row>
    <row r="46" spans="2:4" x14ac:dyDescent="0.2">
      <c r="B46" s="3" t="s">
        <v>36</v>
      </c>
      <c r="D46" s="4">
        <v>-129</v>
      </c>
    </row>
    <row r="47" spans="2:4" x14ac:dyDescent="0.2">
      <c r="B47" s="3" t="s">
        <v>38</v>
      </c>
      <c r="D47" s="4">
        <v>-70</v>
      </c>
    </row>
    <row r="48" spans="2:4" x14ac:dyDescent="0.2">
      <c r="B48" s="3" t="s">
        <v>40</v>
      </c>
      <c r="D48" s="4">
        <v>-105</v>
      </c>
    </row>
    <row r="49" spans="2:4" x14ac:dyDescent="0.2">
      <c r="B49" s="3" t="s">
        <v>42</v>
      </c>
      <c r="D49" s="4">
        <v>-75</v>
      </c>
    </row>
    <row r="50" spans="2:4" x14ac:dyDescent="0.2">
      <c r="B50" s="3" t="s">
        <v>44</v>
      </c>
      <c r="D50" s="4">
        <v>-36</v>
      </c>
    </row>
    <row r="51" spans="2:4" x14ac:dyDescent="0.2">
      <c r="B51" s="3" t="s">
        <v>45</v>
      </c>
      <c r="D51" s="4">
        <v>-200</v>
      </c>
    </row>
    <row r="52" spans="2:4" x14ac:dyDescent="0.2">
      <c r="B52" s="3" t="s">
        <v>46</v>
      </c>
      <c r="D52" s="4">
        <v>-30</v>
      </c>
    </row>
    <row r="53" spans="2:4" x14ac:dyDescent="0.2">
      <c r="B53" s="9" t="s">
        <v>54</v>
      </c>
      <c r="C53" s="10"/>
      <c r="D53" s="11">
        <f>SUM(D29:D52)</f>
        <v>-3380</v>
      </c>
    </row>
    <row r="55" spans="2:4" x14ac:dyDescent="0.2">
      <c r="B55" s="9" t="s">
        <v>55</v>
      </c>
      <c r="C55" s="10"/>
      <c r="D55" s="11">
        <f>D26+D53</f>
        <v>2640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30"/>
  <sheetViews>
    <sheetView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15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9" t="s">
        <v>52</v>
      </c>
      <c r="C4" s="10"/>
      <c r="D4" s="11">
        <v>6020</v>
      </c>
    </row>
    <row r="6" spans="2:4" x14ac:dyDescent="0.2">
      <c r="B6" s="8" t="s">
        <v>53</v>
      </c>
      <c r="C6" s="12" t="s">
        <v>56</v>
      </c>
      <c r="D6" s="8"/>
    </row>
    <row r="7" spans="2:4" x14ac:dyDescent="0.2">
      <c r="B7" s="3" t="s">
        <v>2</v>
      </c>
      <c r="C7" s="7" t="s">
        <v>57</v>
      </c>
      <c r="D7" s="4">
        <v>-650</v>
      </c>
    </row>
    <row r="8" spans="2:4" x14ac:dyDescent="0.2">
      <c r="B8" s="3" t="s">
        <v>4</v>
      </c>
      <c r="C8" s="7" t="s">
        <v>58</v>
      </c>
      <c r="D8" s="4">
        <v>-10</v>
      </c>
    </row>
    <row r="9" spans="2:4" x14ac:dyDescent="0.2">
      <c r="B9" s="3" t="s">
        <v>7</v>
      </c>
      <c r="C9" s="7" t="s">
        <v>58</v>
      </c>
      <c r="D9" s="4">
        <v>-25</v>
      </c>
    </row>
    <row r="10" spans="2:4" x14ac:dyDescent="0.2">
      <c r="B10" s="3" t="s">
        <v>9</v>
      </c>
      <c r="C10" s="7" t="s">
        <v>58</v>
      </c>
      <c r="D10" s="4">
        <v>-95</v>
      </c>
    </row>
    <row r="11" spans="2:4" x14ac:dyDescent="0.2">
      <c r="B11" s="3" t="s">
        <v>12</v>
      </c>
      <c r="C11" s="7" t="s">
        <v>58</v>
      </c>
      <c r="D11" s="4">
        <v>-60</v>
      </c>
    </row>
    <row r="12" spans="2:4" x14ac:dyDescent="0.2">
      <c r="B12" s="3" t="s">
        <v>14</v>
      </c>
      <c r="C12" s="7" t="s">
        <v>58</v>
      </c>
      <c r="D12" s="4">
        <v>-40</v>
      </c>
    </row>
    <row r="13" spans="2:4" x14ac:dyDescent="0.2">
      <c r="B13" s="3" t="s">
        <v>16</v>
      </c>
      <c r="C13" s="7" t="s">
        <v>58</v>
      </c>
      <c r="D13" s="4">
        <v>-65</v>
      </c>
    </row>
    <row r="14" spans="2:4" x14ac:dyDescent="0.2">
      <c r="B14" s="3" t="s">
        <v>17</v>
      </c>
      <c r="C14" s="7" t="s">
        <v>57</v>
      </c>
      <c r="D14" s="4">
        <v>-650</v>
      </c>
    </row>
    <row r="15" spans="2:4" x14ac:dyDescent="0.2">
      <c r="B15" s="3" t="s">
        <v>19</v>
      </c>
      <c r="C15" s="7" t="s">
        <v>58</v>
      </c>
      <c r="D15" s="4">
        <v>-35</v>
      </c>
    </row>
    <row r="16" spans="2:4" x14ac:dyDescent="0.2">
      <c r="B16" s="3" t="s">
        <v>21</v>
      </c>
      <c r="C16" s="7" t="s">
        <v>58</v>
      </c>
      <c r="D16" s="4">
        <v>-25</v>
      </c>
    </row>
    <row r="17" spans="2:4" x14ac:dyDescent="0.2">
      <c r="B17" s="3" t="s">
        <v>23</v>
      </c>
      <c r="C17" s="7" t="s">
        <v>58</v>
      </c>
      <c r="D17" s="4">
        <v>-125</v>
      </c>
    </row>
    <row r="18" spans="2:4" x14ac:dyDescent="0.2">
      <c r="B18" s="3" t="s">
        <v>25</v>
      </c>
      <c r="C18" s="7" t="s">
        <v>58</v>
      </c>
      <c r="D18" s="4">
        <v>-55</v>
      </c>
    </row>
    <row r="19" spans="2:4" x14ac:dyDescent="0.2">
      <c r="B19" s="3" t="s">
        <v>27</v>
      </c>
      <c r="C19" s="7" t="s">
        <v>58</v>
      </c>
      <c r="D19" s="4">
        <v>-45</v>
      </c>
    </row>
    <row r="20" spans="2:4" x14ac:dyDescent="0.2">
      <c r="B20" s="3" t="s">
        <v>29</v>
      </c>
      <c r="C20" s="7" t="s">
        <v>58</v>
      </c>
      <c r="D20" s="4">
        <v>-100</v>
      </c>
    </row>
    <row r="21" spans="2:4" x14ac:dyDescent="0.2">
      <c r="B21" s="3" t="s">
        <v>31</v>
      </c>
      <c r="C21" s="7" t="s">
        <v>58</v>
      </c>
      <c r="D21" s="4">
        <v>-80</v>
      </c>
    </row>
    <row r="22" spans="2:4" x14ac:dyDescent="0.2">
      <c r="B22" s="3" t="s">
        <v>32</v>
      </c>
      <c r="C22" s="7" t="s">
        <v>57</v>
      </c>
      <c r="D22" s="4">
        <v>-650</v>
      </c>
    </row>
    <row r="23" spans="2:4" x14ac:dyDescent="0.2">
      <c r="B23" s="3" t="s">
        <v>34</v>
      </c>
      <c r="C23" s="7" t="s">
        <v>58</v>
      </c>
      <c r="D23" s="4">
        <v>-25</v>
      </c>
    </row>
    <row r="24" spans="2:4" x14ac:dyDescent="0.2">
      <c r="B24" s="3" t="s">
        <v>36</v>
      </c>
      <c r="C24" s="7" t="s">
        <v>58</v>
      </c>
      <c r="D24" s="4">
        <v>-129</v>
      </c>
    </row>
    <row r="25" spans="2:4" x14ac:dyDescent="0.2">
      <c r="B25" s="3" t="s">
        <v>38</v>
      </c>
      <c r="C25" s="7" t="s">
        <v>58</v>
      </c>
      <c r="D25" s="4">
        <v>-70</v>
      </c>
    </row>
    <row r="26" spans="2:4" x14ac:dyDescent="0.2">
      <c r="B26" s="3" t="s">
        <v>40</v>
      </c>
      <c r="C26" s="7" t="s">
        <v>58</v>
      </c>
      <c r="D26" s="4">
        <v>-105</v>
      </c>
    </row>
    <row r="27" spans="2:4" x14ac:dyDescent="0.2">
      <c r="B27" s="3" t="s">
        <v>42</v>
      </c>
      <c r="C27" s="7" t="s">
        <v>58</v>
      </c>
      <c r="D27" s="4">
        <v>-75</v>
      </c>
    </row>
    <row r="28" spans="2:4" x14ac:dyDescent="0.2">
      <c r="B28" s="3" t="s">
        <v>44</v>
      </c>
      <c r="C28" s="7" t="s">
        <v>58</v>
      </c>
      <c r="D28" s="4">
        <v>-36</v>
      </c>
    </row>
    <row r="29" spans="2:4" x14ac:dyDescent="0.2">
      <c r="B29" s="3" t="s">
        <v>45</v>
      </c>
      <c r="C29" s="7" t="s">
        <v>59</v>
      </c>
      <c r="D29" s="4">
        <v>-200</v>
      </c>
    </row>
    <row r="30" spans="2:4" x14ac:dyDescent="0.2">
      <c r="B30" s="3" t="s">
        <v>46</v>
      </c>
      <c r="C30" s="7" t="s">
        <v>59</v>
      </c>
      <c r="D30" s="4">
        <v>-30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42"/>
  <sheetViews>
    <sheetView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9" t="s">
        <v>52</v>
      </c>
      <c r="C4" s="10"/>
      <c r="D4" s="11">
        <v>6020</v>
      </c>
    </row>
    <row r="6" spans="2:4" x14ac:dyDescent="0.2">
      <c r="B6" s="8" t="s">
        <v>53</v>
      </c>
      <c r="C6" s="8"/>
      <c r="D6" s="8"/>
    </row>
    <row r="7" spans="2:4" x14ac:dyDescent="0.2">
      <c r="B7" s="13" t="s">
        <v>58</v>
      </c>
    </row>
    <row r="8" spans="2:4" x14ac:dyDescent="0.2">
      <c r="B8" s="3" t="s">
        <v>60</v>
      </c>
      <c r="D8" s="4">
        <v>-10</v>
      </c>
    </row>
    <row r="9" spans="2:4" x14ac:dyDescent="0.2">
      <c r="B9" s="3" t="s">
        <v>61</v>
      </c>
      <c r="D9" s="4">
        <v>-25</v>
      </c>
    </row>
    <row r="10" spans="2:4" x14ac:dyDescent="0.2">
      <c r="B10" s="3" t="s">
        <v>62</v>
      </c>
      <c r="D10" s="4">
        <v>-95</v>
      </c>
    </row>
    <row r="11" spans="2:4" x14ac:dyDescent="0.2">
      <c r="B11" s="3" t="s">
        <v>63</v>
      </c>
      <c r="D11" s="4">
        <v>-60</v>
      </c>
    </row>
    <row r="12" spans="2:4" x14ac:dyDescent="0.2">
      <c r="B12" s="3" t="s">
        <v>64</v>
      </c>
      <c r="D12" s="4">
        <v>-40</v>
      </c>
    </row>
    <row r="13" spans="2:4" x14ac:dyDescent="0.2">
      <c r="B13" s="3" t="s">
        <v>65</v>
      </c>
      <c r="D13" s="4">
        <v>-65</v>
      </c>
    </row>
    <row r="14" spans="2:4" x14ac:dyDescent="0.2">
      <c r="B14" s="3" t="s">
        <v>66</v>
      </c>
      <c r="D14" s="4">
        <v>-35</v>
      </c>
    </row>
    <row r="15" spans="2:4" x14ac:dyDescent="0.2">
      <c r="B15" s="3" t="s">
        <v>67</v>
      </c>
      <c r="D15" s="4">
        <v>-25</v>
      </c>
    </row>
    <row r="16" spans="2:4" x14ac:dyDescent="0.2">
      <c r="B16" s="3" t="s">
        <v>68</v>
      </c>
      <c r="D16" s="4">
        <v>-125</v>
      </c>
    </row>
    <row r="17" spans="2:4" x14ac:dyDescent="0.2">
      <c r="B17" s="3" t="s">
        <v>69</v>
      </c>
      <c r="D17" s="4">
        <v>-55</v>
      </c>
    </row>
    <row r="18" spans="2:4" x14ac:dyDescent="0.2">
      <c r="B18" s="3" t="s">
        <v>70</v>
      </c>
      <c r="D18" s="4">
        <v>-45</v>
      </c>
    </row>
    <row r="19" spans="2:4" x14ac:dyDescent="0.2">
      <c r="B19" s="3" t="s">
        <v>71</v>
      </c>
      <c r="D19" s="4">
        <v>-100</v>
      </c>
    </row>
    <row r="20" spans="2:4" x14ac:dyDescent="0.2">
      <c r="B20" s="3" t="s">
        <v>72</v>
      </c>
      <c r="D20" s="4">
        <v>-80</v>
      </c>
    </row>
    <row r="21" spans="2:4" x14ac:dyDescent="0.2">
      <c r="B21" s="3" t="s">
        <v>73</v>
      </c>
      <c r="D21" s="4">
        <v>-25</v>
      </c>
    </row>
    <row r="22" spans="2:4" x14ac:dyDescent="0.2">
      <c r="B22" s="3" t="s">
        <v>74</v>
      </c>
      <c r="D22" s="4">
        <v>-129</v>
      </c>
    </row>
    <row r="23" spans="2:4" x14ac:dyDescent="0.2">
      <c r="B23" s="3" t="s">
        <v>75</v>
      </c>
      <c r="D23" s="4">
        <v>-70</v>
      </c>
    </row>
    <row r="24" spans="2:4" x14ac:dyDescent="0.2">
      <c r="B24" s="3" t="s">
        <v>76</v>
      </c>
      <c r="D24" s="4">
        <v>-105</v>
      </c>
    </row>
    <row r="25" spans="2:4" x14ac:dyDescent="0.2">
      <c r="B25" s="3" t="s">
        <v>77</v>
      </c>
      <c r="D25" s="4">
        <v>-75</v>
      </c>
    </row>
    <row r="26" spans="2:4" x14ac:dyDescent="0.2">
      <c r="B26" s="3" t="s">
        <v>78</v>
      </c>
      <c r="D26" s="4">
        <v>-36</v>
      </c>
    </row>
    <row r="27" spans="2:4" x14ac:dyDescent="0.2">
      <c r="B27" s="3" t="s">
        <v>79</v>
      </c>
      <c r="D27" s="14">
        <f>SUM(D8:D26)</f>
        <v>-1200</v>
      </c>
    </row>
    <row r="29" spans="2:4" x14ac:dyDescent="0.2">
      <c r="B29" s="13" t="s">
        <v>57</v>
      </c>
    </row>
    <row r="30" spans="2:4" x14ac:dyDescent="0.2">
      <c r="B30" s="3" t="s">
        <v>80</v>
      </c>
      <c r="D30" s="4">
        <v>-650</v>
      </c>
    </row>
    <row r="31" spans="2:4" x14ac:dyDescent="0.2">
      <c r="B31" s="3" t="s">
        <v>81</v>
      </c>
      <c r="D31" s="4">
        <v>-650</v>
      </c>
    </row>
    <row r="32" spans="2:4" x14ac:dyDescent="0.2">
      <c r="B32" s="3" t="s">
        <v>82</v>
      </c>
      <c r="D32" s="4">
        <v>-650</v>
      </c>
    </row>
    <row r="33" spans="2:4" x14ac:dyDescent="0.2">
      <c r="B33" s="3" t="s">
        <v>83</v>
      </c>
      <c r="D33" s="14">
        <f>SUM(D30:D32)</f>
        <v>-1950</v>
      </c>
    </row>
    <row r="35" spans="2:4" x14ac:dyDescent="0.2">
      <c r="B35" s="13" t="s">
        <v>59</v>
      </c>
    </row>
    <row r="36" spans="2:4" x14ac:dyDescent="0.2">
      <c r="B36" s="3" t="s">
        <v>84</v>
      </c>
      <c r="D36" s="4">
        <v>-200</v>
      </c>
    </row>
    <row r="37" spans="2:4" x14ac:dyDescent="0.2">
      <c r="B37" s="3" t="s">
        <v>85</v>
      </c>
      <c r="D37" s="4">
        <v>-30</v>
      </c>
    </row>
    <row r="38" spans="2:4" x14ac:dyDescent="0.2">
      <c r="B38" s="3" t="s">
        <v>86</v>
      </c>
      <c r="D38" s="14">
        <f>SUM(D36:D37)</f>
        <v>-230</v>
      </c>
    </row>
    <row r="40" spans="2:4" x14ac:dyDescent="0.2">
      <c r="B40" s="9" t="s">
        <v>54</v>
      </c>
      <c r="C40" s="10"/>
      <c r="D40" s="11">
        <f>D27+D33+D38</f>
        <v>-3380</v>
      </c>
    </row>
    <row r="42" spans="2:4" x14ac:dyDescent="0.2">
      <c r="B42" s="9" t="s">
        <v>55</v>
      </c>
      <c r="C42" s="10"/>
      <c r="D42" s="11">
        <f>6020+D40</f>
        <v>2640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4"/>
  <sheetViews>
    <sheetView tabSelected="1" zoomScale="160" zoomScaleNormal="160" workbookViewId="0">
      <selection activeCell="K33" sqref="K33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8" t="s">
        <v>51</v>
      </c>
      <c r="C4" s="8"/>
      <c r="D4" s="8"/>
    </row>
    <row r="5" spans="2:4" x14ac:dyDescent="0.2">
      <c r="B5" s="3" t="s">
        <v>87</v>
      </c>
      <c r="D5" s="15">
        <v>6020</v>
      </c>
    </row>
    <row r="6" spans="2:4" x14ac:dyDescent="0.2">
      <c r="B6" s="9" t="s">
        <v>52</v>
      </c>
      <c r="C6" s="10"/>
      <c r="D6" s="16">
        <f>D5</f>
        <v>6020</v>
      </c>
    </row>
    <row r="8" spans="2:4" x14ac:dyDescent="0.2">
      <c r="B8" s="8" t="s">
        <v>53</v>
      </c>
      <c r="C8" s="8"/>
      <c r="D8" s="8"/>
    </row>
    <row r="9" spans="2:4" x14ac:dyDescent="0.2">
      <c r="B9" s="3" t="s">
        <v>88</v>
      </c>
      <c r="D9" s="15">
        <v>1200</v>
      </c>
    </row>
    <row r="10" spans="2:4" x14ac:dyDescent="0.2">
      <c r="B10" s="3" t="s">
        <v>57</v>
      </c>
      <c r="D10" s="17">
        <v>1950</v>
      </c>
    </row>
    <row r="11" spans="2:4" x14ac:dyDescent="0.2">
      <c r="B11" s="3" t="s">
        <v>59</v>
      </c>
      <c r="D11" s="17">
        <v>230</v>
      </c>
    </row>
    <row r="12" spans="2:4" x14ac:dyDescent="0.2">
      <c r="B12" s="9" t="s">
        <v>54</v>
      </c>
      <c r="C12" s="10"/>
      <c r="D12" s="16">
        <f>SUM(D9:D11)</f>
        <v>3380</v>
      </c>
    </row>
    <row r="14" spans="2:4" x14ac:dyDescent="0.2">
      <c r="B14" s="9" t="s">
        <v>55</v>
      </c>
      <c r="C14" s="10"/>
      <c r="D14" s="16">
        <f>D6-D12</f>
        <v>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· Data copied in</vt:lpstr>
      <vt:lpstr>1 · Pick — Revenue or Expense</vt:lpstr>
      <vt:lpstr>2 · Sort — Revenue &amp; Expenses</vt:lpstr>
      <vt:lpstr>3 · Pick — kind of expense</vt:lpstr>
      <vt:lpstr>4 · Sort expenses by kind</vt:lpstr>
      <vt:lpstr>5 · Format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Antle, Rick</cp:lastModifiedBy>
  <dcterms:created xsi:type="dcterms:W3CDTF">2026-07-13T18:48:25Z</dcterms:created>
  <dcterms:modified xsi:type="dcterms:W3CDTF">2026-07-14T16:58:43Z</dcterms:modified>
</cp:coreProperties>
</file>