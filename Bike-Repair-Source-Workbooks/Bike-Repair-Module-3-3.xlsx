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040" yWindow="25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00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topLeftCell="A37" zoomScale="214" zoomScaleNormal="214" workbookViewId="0">
      <selection activeCell="F52" sqref="F5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outlineLevel="1">
      <c r="B3" s="3" t="inlineStr">
        <is>
          <t>Rent paid in advance (the lease)</t>
        </is>
      </c>
      <c r="D3" s="4" t="n">
        <v>-1300</v>
      </c>
    </row>
    <row r="4" outlineLevel="1">
      <c r="B4" s="3" t="inlineStr">
        <is>
          <t>Park Tool repair stand</t>
        </is>
      </c>
      <c r="D4" s="4" t="n">
        <v>-200</v>
      </c>
    </row>
    <row r="5" outlineLevel="1">
      <c r="B5" s="3" t="inlineStr">
        <is>
          <t>Repair, customer paid</t>
        </is>
      </c>
      <c r="D5" s="4" t="n">
        <v>340</v>
      </c>
    </row>
    <row r="6" outlineLevel="1">
      <c r="B6" s="3" t="inlineStr">
        <is>
          <t>Repair, customer paid</t>
        </is>
      </c>
      <c r="D6" s="4" t="n">
        <v>180</v>
      </c>
    </row>
    <row r="7" outlineLevel="1">
      <c r="B7" s="3" t="inlineStr">
        <is>
          <t>Repair, customer paid</t>
        </is>
      </c>
      <c r="D7" s="4" t="n">
        <v>80</v>
      </c>
    </row>
    <row r="8" outlineLevel="1">
      <c r="B8" s="3" t="inlineStr">
        <is>
          <t>Repair, customer paid</t>
        </is>
      </c>
      <c r="D8" s="4" t="n">
        <v>140</v>
      </c>
    </row>
    <row r="9" outlineLevel="1">
      <c r="B9" s="3" t="inlineStr">
        <is>
          <t>Repair, customer paid</t>
        </is>
      </c>
      <c r="D9" s="4" t="n">
        <v>130</v>
      </c>
    </row>
    <row r="10" outlineLevel="1">
      <c r="B10" s="3" t="inlineStr">
        <is>
          <t>Smith's deposit received</t>
        </is>
      </c>
      <c r="D10" s="4" t="n">
        <v>220</v>
      </c>
    </row>
    <row r="11" outlineLevel="1">
      <c r="B11" s="3" t="inlineStr">
        <is>
          <t>Repair, customer paid</t>
        </is>
      </c>
      <c r="D11" s="4" t="n">
        <v>100</v>
      </c>
    </row>
    <row r="12" outlineLevel="1">
      <c r="B12" s="3" t="inlineStr">
        <is>
          <t>Repair, customer paid</t>
        </is>
      </c>
      <c r="D12" s="4" t="n">
        <v>150</v>
      </c>
    </row>
    <row r="13" outlineLevel="1">
      <c r="B13" s="3" t="inlineStr">
        <is>
          <t>Covered from your personal funds</t>
        </is>
      </c>
      <c r="D13" s="4" t="n">
        <v>160</v>
      </c>
    </row>
    <row r="14" outlineLevel="1">
      <c r="B14" s="3" t="inlineStr">
        <is>
          <t>Deposited to open the LLC bank account</t>
        </is>
      </c>
      <c r="D14" s="15" t="n">
        <v>1300</v>
      </c>
    </row>
    <row r="15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outlineLevel="1">
      <c r="B47" s="3" t="inlineStr">
        <is>
          <t>Ridgeline Trail Crew — finished Aug 28, net 15 (unpaid)</t>
        </is>
      </c>
      <c r="D47" s="4" t="n">
        <v>300</v>
      </c>
    </row>
    <row r="48">
      <c r="B48" s="16" t="inlineStr">
        <is>
          <t>Balance, August 31, 2026</t>
        </is>
      </c>
      <c r="C48" s="17" t="n"/>
      <c r="D48" s="13">
        <f>SUBTOTAL(9,D47)</f>
        <v>300</v>
        <v/>
      </c>
    </row>
    <row r="50">
      <c r="B50" s="6" t="inlineStr">
        <is>
          <t>Right of Use</t>
        </is>
      </c>
      <c r="C50" s="11" t="n"/>
      <c r="D50" s="11" t="n"/>
    </row>
    <row r="51" outlineLevel="1">
      <c r="B51" s="3" t="inlineStr">
        <is>
          <t>Last month's rent, paid in advance (on deposit)</t>
        </is>
      </c>
      <c r="D51" s="4" t="n">
        <v>650</v>
      </c>
    </row>
    <row r="52">
      <c r="B52" s="16" t="inlineStr">
        <is>
          <t>Balance, June 1, 2026</t>
        </is>
      </c>
      <c r="C52" s="17" t="n"/>
      <c r="D52" s="13">
        <f>D51</f>
        <v>650</v>
        <v/>
      </c>
    </row>
    <row r="53">
      <c r="B53" s="16" t="inlineStr">
        <is>
          <t>Balance, August 31, 2026</t>
        </is>
      </c>
      <c r="C53" s="17" t="n"/>
      <c r="D53" s="13">
        <f>D51</f>
        <v>650</v>
        <v/>
      </c>
    </row>
    <row r="55">
      <c r="B55" s="6" t="inlineStr">
        <is>
          <t>Parts</t>
        </is>
      </c>
      <c r="C55" s="11" t="n"/>
      <c r="D55" s="11" t="n"/>
    </row>
    <row r="56" outlineLevel="1">
      <c r="B56" s="3" t="inlineStr">
        <is>
          <t>Chains</t>
        </is>
      </c>
      <c r="D56" s="4" t="n">
        <v>50</v>
      </c>
    </row>
    <row r="57" outlineLevel="1">
      <c r="B57" s="3" t="inlineStr">
        <is>
          <t>Brake pads</t>
        </is>
      </c>
      <c r="D57" s="4" t="n">
        <v>40</v>
      </c>
    </row>
    <row r="58" outlineLevel="1">
      <c r="B58" s="3" t="inlineStr">
        <is>
          <t>Derailleur cables</t>
        </is>
      </c>
      <c r="D58" s="4" t="n">
        <v>20</v>
      </c>
    </row>
    <row r="59" outlineLevel="1">
      <c r="B59" s="3" t="inlineStr">
        <is>
          <t>Cassettes</t>
        </is>
      </c>
      <c r="D59" s="4" t="n">
        <v>40</v>
      </c>
    </row>
    <row r="60" outlineLevel="1">
      <c r="B60" s="3" t="inlineStr">
        <is>
          <t>Bottom brackets</t>
        </is>
      </c>
      <c r="D60" s="4" t="n">
        <v>20</v>
      </c>
    </row>
    <row r="61" outlineLevel="1">
      <c r="B61" s="3" t="inlineStr">
        <is>
          <t>Spokes</t>
        </is>
      </c>
      <c r="D61" s="4" t="n">
        <v>20</v>
      </c>
    </row>
    <row r="62" outlineLevel="1">
      <c r="B62" s="3" t="inlineStr">
        <is>
          <t>Tubes</t>
        </is>
      </c>
      <c r="D62" s="4" t="n">
        <v>10</v>
      </c>
    </row>
    <row r="63">
      <c r="B63" s="16" t="inlineStr">
        <is>
          <t>Balance, June 1, 2026</t>
        </is>
      </c>
      <c r="C63" s="17" t="n"/>
      <c r="D63" s="13">
        <f>SUBTOTAL(9,D56:D62)</f>
        <v>200</v>
        <v/>
      </c>
    </row>
    <row r="64" outlineLevel="1">
      <c r="B64" s="3" t="inlineStr">
        <is>
          <t>Chains ×10 (June)</t>
        </is>
      </c>
      <c r="D64" s="4" t="n">
        <v>150</v>
      </c>
    </row>
    <row r="65" outlineLevel="1">
      <c r="B65" s="3" t="inlineStr">
        <is>
          <t>11-spd cassettes ×4 (June)</t>
        </is>
      </c>
      <c r="D65" s="4" t="n">
        <v>160</v>
      </c>
    </row>
    <row r="66" outlineLevel="1">
      <c r="B66" s="3" t="inlineStr">
        <is>
          <t>Brake pad sets ×12 (June)</t>
        </is>
      </c>
      <c r="D66" s="4" t="n">
        <v>90</v>
      </c>
    </row>
    <row r="67" outlineLevel="1">
      <c r="B67" s="3" t="inlineStr">
        <is>
          <t>Cables + housing (assorted) (June)</t>
        </is>
      </c>
      <c r="D67" s="4" t="n">
        <v>60</v>
      </c>
    </row>
    <row r="68" outlineLevel="1">
      <c r="B68" s="3" t="inlineStr">
        <is>
          <t>Tubes ×10 (June)</t>
        </is>
      </c>
      <c r="D68" s="4" t="n">
        <v>40</v>
      </c>
    </row>
    <row r="69" outlineLevel="1">
      <c r="B69" s="3" t="inlineStr">
        <is>
          <t>Chainrings + jockey wheels (July)</t>
        </is>
      </c>
      <c r="D69" s="4" t="n">
        <v>120</v>
      </c>
    </row>
    <row r="70" outlineLevel="1">
      <c r="B70" s="3" t="inlineStr">
        <is>
          <t>Bottom brackets ×3 (July)</t>
        </is>
      </c>
      <c r="D70" s="4" t="n">
        <v>105</v>
      </c>
    </row>
    <row r="71" outlineLevel="1">
      <c r="B71" s="3" t="inlineStr">
        <is>
          <t>Shift cables + housing (July)</t>
        </is>
      </c>
      <c r="D71" s="4" t="n">
        <v>75</v>
      </c>
    </row>
    <row r="72" outlineLevel="1">
      <c r="B72" s="3" t="inlineStr">
        <is>
          <t>Tubeless sealant + valves (July)</t>
        </is>
      </c>
      <c r="D72" s="4" t="n">
        <v>60</v>
      </c>
    </row>
    <row r="73" outlineLevel="1">
      <c r="B73" s="3" t="inlineStr">
        <is>
          <t>Spokes + nipples (July)</t>
        </is>
      </c>
      <c r="D73" s="4" t="n">
        <v>40</v>
      </c>
    </row>
    <row r="74" outlineLevel="1">
      <c r="B74" s="3" t="inlineStr">
        <is>
          <t>Tires ×4 (August)</t>
        </is>
      </c>
      <c r="D74" s="4" t="n">
        <v>130</v>
      </c>
    </row>
    <row r="75" outlineLevel="1">
      <c r="B75" s="3" t="inlineStr">
        <is>
          <t>Brake pads (assorted) (August)</t>
        </is>
      </c>
      <c r="D75" s="4" t="n">
        <v>70</v>
      </c>
    </row>
    <row r="76" outlineLevel="1">
      <c r="B76" s="3" t="inlineStr">
        <is>
          <t>Cables + housing (August)</t>
        </is>
      </c>
      <c r="D76" s="4" t="n">
        <v>50</v>
      </c>
    </row>
    <row r="77" outlineLevel="1">
      <c r="B77" s="3" t="inlineStr">
        <is>
          <t>Tubes ×8 (August)</t>
        </is>
      </c>
      <c r="D77" s="4" t="n">
        <v>30</v>
      </c>
    </row>
    <row r="78" outlineLevel="1">
      <c r="B78" s="3" t="inlineStr">
        <is>
          <t>Small parts (bolts, tape) (August)</t>
        </is>
      </c>
      <c r="D78" s="4" t="n">
        <v>20</v>
      </c>
    </row>
    <row r="79" outlineLevel="1">
      <c r="B79" s="3" t="inlineStr">
        <is>
          <t>Parts used — Dana R.</t>
        </is>
      </c>
      <c r="D79" s="4" t="n">
        <v>-10</v>
      </c>
    </row>
    <row r="80" outlineLevel="1">
      <c r="B80" s="3" t="inlineStr">
        <is>
          <t>Parts used — Priya S.</t>
        </is>
      </c>
      <c r="D80" s="4" t="n">
        <v>-25</v>
      </c>
    </row>
    <row r="81" outlineLevel="1">
      <c r="B81" s="3" t="inlineStr">
        <is>
          <t>Parts used — Liam O.</t>
        </is>
      </c>
      <c r="D81" s="4" t="n">
        <v>-95</v>
      </c>
    </row>
    <row r="82" outlineLevel="1">
      <c r="B82" s="3" t="inlineStr">
        <is>
          <t>Parts used — Jamal W.</t>
        </is>
      </c>
      <c r="D82" s="4" t="n">
        <v>-60</v>
      </c>
    </row>
    <row r="83" outlineLevel="1">
      <c r="B83" s="3" t="inlineStr">
        <is>
          <t>Parts used — Erin K.</t>
        </is>
      </c>
      <c r="D83" s="4" t="n">
        <v>-40</v>
      </c>
    </row>
    <row r="84" outlineLevel="1">
      <c r="B84" s="3" t="inlineStr">
        <is>
          <t>Parts used — Noah B.</t>
        </is>
      </c>
      <c r="D84" s="4" t="n">
        <v>-65</v>
      </c>
    </row>
    <row r="85" outlineLevel="1">
      <c r="B85" s="3" t="inlineStr">
        <is>
          <t>Parts used — Grace L.</t>
        </is>
      </c>
      <c r="D85" s="4" t="n">
        <v>-35</v>
      </c>
    </row>
    <row r="86" outlineLevel="1">
      <c r="B86" s="3" t="inlineStr">
        <is>
          <t>Parts used — Theo H.</t>
        </is>
      </c>
      <c r="D86" s="4" t="n">
        <v>-25</v>
      </c>
    </row>
    <row r="87" outlineLevel="1">
      <c r="B87" s="3" t="inlineStr">
        <is>
          <t>Parts used — Maya P.</t>
        </is>
      </c>
      <c r="D87" s="4" t="n">
        <v>-125</v>
      </c>
    </row>
    <row r="88" outlineLevel="1">
      <c r="B88" s="3" t="inlineStr">
        <is>
          <t>Parts used — Owen C.</t>
        </is>
      </c>
      <c r="D88" s="4" t="n">
        <v>-55</v>
      </c>
    </row>
    <row r="89" outlineLevel="1">
      <c r="B89" s="3" t="inlineStr">
        <is>
          <t>Parts used — Ava D.</t>
        </is>
      </c>
      <c r="D89" s="4" t="n">
        <v>-45</v>
      </c>
    </row>
    <row r="90" outlineLevel="1">
      <c r="B90" s="3" t="inlineStr">
        <is>
          <t>Parts used — Leo F.</t>
        </is>
      </c>
      <c r="D90" s="4" t="n">
        <v>-100</v>
      </c>
    </row>
    <row r="91" outlineLevel="1">
      <c r="B91" s="3" t="inlineStr">
        <is>
          <t>Parts used — Nina V.</t>
        </is>
      </c>
      <c r="D91" s="4" t="n">
        <v>-80</v>
      </c>
    </row>
    <row r="92" outlineLevel="1">
      <c r="B92" s="3" t="inlineStr">
        <is>
          <t>Parts used — Caleb G.</t>
        </is>
      </c>
      <c r="D92" s="4" t="n">
        <v>-25</v>
      </c>
    </row>
    <row r="93" outlineLevel="1">
      <c r="B93" s="3" t="inlineStr">
        <is>
          <t>Parts used — Ruth A.</t>
        </is>
      </c>
      <c r="D93" s="4" t="n">
        <v>-129</v>
      </c>
    </row>
    <row r="94" outlineLevel="1">
      <c r="B94" s="3" t="inlineStr">
        <is>
          <t>Parts used — Sam Q.</t>
        </is>
      </c>
      <c r="D94" s="4" t="n">
        <v>-70</v>
      </c>
    </row>
    <row r="95" outlineLevel="1">
      <c r="B95" s="3" t="inlineStr">
        <is>
          <t>Parts used — Westville Bike Share</t>
        </is>
      </c>
      <c r="D95" s="4" t="n">
        <v>-105</v>
      </c>
    </row>
    <row r="96" outlineLevel="1">
      <c r="B96" s="3" t="inlineStr">
        <is>
          <t>Parts used — Ridgeline Trail Crew</t>
        </is>
      </c>
      <c r="D96" s="4" t="n">
        <v>-75</v>
      </c>
    </row>
    <row r="97" outlineLevel="1">
      <c r="B97" s="3" t="inlineStr">
        <is>
          <t>Parts used — J. Smith</t>
        </is>
      </c>
      <c r="D97" s="4" t="n">
        <v>-36</v>
      </c>
    </row>
    <row r="98">
      <c r="B98" s="16" t="inlineStr">
        <is>
          <t>Balance, August 31, 2026</t>
        </is>
      </c>
      <c r="C98" s="17" t="n"/>
      <c r="D98" s="13">
        <f>SUBTOTAL(9,D56:D97)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outlineLevel="1">
      <c r="B101" s="3" t="inlineStr">
        <is>
          <t>Repair stand</t>
        </is>
      </c>
      <c r="D101" s="4" t="n">
        <v>200</v>
      </c>
    </row>
    <row r="102" outlineLevel="1">
      <c r="B102" s="3" t="inlineStr">
        <is>
          <t>Air compressor</t>
        </is>
      </c>
      <c r="D102" s="4" t="n">
        <v>180</v>
      </c>
    </row>
    <row r="103" outlineLevel="1">
      <c r="B103" s="3" t="inlineStr">
        <is>
          <t>Parts washer</t>
        </is>
      </c>
      <c r="D103" s="4" t="n">
        <v>130</v>
      </c>
    </row>
    <row r="104" outlineLevel="1">
      <c r="B104" s="3" t="inlineStr">
        <is>
          <t>Wheel-truing stand</t>
        </is>
      </c>
      <c r="D104" s="4" t="n">
        <v>170</v>
      </c>
    </row>
    <row r="105" outlineLevel="1">
      <c r="B105" s="3" t="inlineStr">
        <is>
          <t>Cone wrench set</t>
        </is>
      </c>
      <c r="D105" s="4" t="n">
        <v>65</v>
      </c>
    </row>
    <row r="106" outlineLevel="1">
      <c r="B106" s="3" t="inlineStr">
        <is>
          <t>Torque wrench</t>
        </is>
      </c>
      <c r="D106" s="4" t="n">
        <v>95</v>
      </c>
    </row>
    <row r="107" outlineLevel="1">
      <c r="B107" s="3" t="inlineStr">
        <is>
          <t>Hex/Allen set</t>
        </is>
      </c>
      <c r="D107" s="4" t="n">
        <v>45</v>
      </c>
    </row>
    <row r="108" outlineLevel="1">
      <c r="B108" s="3" t="inlineStr">
        <is>
          <t>Cable cutters</t>
        </is>
      </c>
      <c r="D108" s="4" t="n">
        <v>40</v>
      </c>
    </row>
    <row r="109" outlineLevel="1">
      <c r="B109" s="3" t="inlineStr">
        <is>
          <t>Chain breaker</t>
        </is>
      </c>
      <c r="D109" s="4" t="n">
        <v>35</v>
      </c>
    </row>
    <row r="110" outlineLevel="1">
      <c r="B110" s="3" t="inlineStr">
        <is>
          <t>Tire levers</t>
        </is>
      </c>
      <c r="D110" s="4" t="n">
        <v>20</v>
      </c>
    </row>
    <row r="111" outlineLevel="1">
      <c r="B111" s="3" t="inlineStr">
        <is>
          <t>Bench grinder</t>
        </is>
      </c>
      <c r="D111" s="4" t="n">
        <v>90</v>
      </c>
    </row>
    <row r="112" outlineLevel="1">
      <c r="B112" s="3" t="inlineStr">
        <is>
          <t>Headset press</t>
        </is>
      </c>
      <c r="D112" s="4" t="n">
        <v>70</v>
      </c>
    </row>
    <row r="113" outlineLevel="1">
      <c r="B113" s="3" t="inlineStr">
        <is>
          <t>Shop vacuum</t>
        </is>
      </c>
      <c r="D113" s="4" t="n">
        <v>60</v>
      </c>
    </row>
    <row r="114">
      <c r="B114" s="16" t="inlineStr">
        <is>
          <t>Balance, June 1, 2026</t>
        </is>
      </c>
      <c r="C114" s="17" t="n"/>
      <c r="D114" s="13">
        <f>SUBTOTAL(9,D101:D113)</f>
        <v>1200</v>
        <v/>
      </c>
    </row>
    <row r="115" outlineLevel="1">
      <c r="B115" s="3" t="inlineStr">
        <is>
          <t>New repair tool bought this season</t>
        </is>
      </c>
      <c r="D115" s="4" t="n">
        <v>400</v>
      </c>
    </row>
    <row r="116" outlineLevel="1">
      <c r="B116" s="3" t="inlineStr">
        <is>
          <t>Depreciation — Summer 2026 (the season's share of the cost)</t>
        </is>
      </c>
      <c r="D116" s="4" t="n">
        <v>-160</v>
      </c>
    </row>
    <row r="117">
      <c r="B117" s="16" t="inlineStr">
        <is>
          <t>Balance, August 31, 2026</t>
        </is>
      </c>
      <c r="C117" s="17" t="n"/>
      <c r="D117" s="13">
        <f>SUBTOTAL(9,D101:D116)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outlineLevel="1">
      <c r="B120" s="3" t="inlineStr">
        <is>
          <t>Desk</t>
        </is>
      </c>
      <c r="D120" s="4" t="n">
        <v>250</v>
      </c>
    </row>
    <row r="121" outlineLevel="1">
      <c r="B121" s="3" t="inlineStr">
        <is>
          <t>Shelving units</t>
        </is>
      </c>
      <c r="D121" s="4" t="n">
        <v>200</v>
      </c>
    </row>
    <row r="122" outlineLevel="1">
      <c r="B122" s="3" t="inlineStr">
        <is>
          <t>Display rack</t>
        </is>
      </c>
      <c r="D122" s="4" t="n">
        <v>180</v>
      </c>
    </row>
    <row r="123" outlineLevel="1">
      <c r="B123" s="3" t="inlineStr">
        <is>
          <t>Pegboard + hooks</t>
        </is>
      </c>
      <c r="D123" s="4" t="n">
        <v>120</v>
      </c>
    </row>
    <row r="124">
      <c r="B124" s="16" t="inlineStr">
        <is>
          <t>Balance, June 1, 2026</t>
        </is>
      </c>
      <c r="C124" s="17" t="n"/>
      <c r="D124" s="13">
        <f>SUBTOTAL(9,D120:D123)</f>
        <v>750</v>
        <v/>
      </c>
    </row>
    <row r="125">
      <c r="B125" s="3" t="inlineStr">
        <is>
          <t>Depreciation — Summer 2026 (the season's share of the cost)</t>
        </is>
      </c>
      <c r="D125" s="4" t="n">
        <v>-40</v>
      </c>
    </row>
    <row r="126">
      <c r="B126" s="16" t="inlineStr">
        <is>
          <t>Balance, August 31, 2026</t>
        </is>
      </c>
      <c r="C126" s="17" t="n"/>
      <c r="D126" s="13">
        <f>SUBTOTAL(9,D120:D125)</f>
        <v>710</v>
        <v/>
      </c>
    </row>
    <row r="128">
      <c r="B128" s="6" t="inlineStr">
        <is>
          <t>Laptop</t>
        </is>
      </c>
      <c r="C128" s="11" t="n"/>
      <c r="D128" s="11" t="n"/>
    </row>
    <row r="129" outlineLevel="1">
      <c r="B129" s="3" t="inlineStr">
        <is>
          <t>Laptop (from home)</t>
        </is>
      </c>
      <c r="D129" s="4" t="n">
        <v>610</v>
      </c>
    </row>
    <row r="130">
      <c r="B130" s="16" t="inlineStr">
        <is>
          <t>Balance, June 1, 2026</t>
        </is>
      </c>
      <c r="C130" s="17" t="n"/>
      <c r="D130" s="13">
        <f>SUBTOTAL(9,D129)</f>
        <v>610</v>
        <v/>
      </c>
    </row>
    <row r="131" outlineLevel="1">
      <c r="B131" s="3" t="inlineStr">
        <is>
          <t>Depreciation — Summer 2026 (the season's share of the cost)</t>
        </is>
      </c>
      <c r="D131" s="4" t="n">
        <v>-30</v>
      </c>
    </row>
    <row r="132">
      <c r="B132" s="16" t="inlineStr">
        <is>
          <t>Balance, August 31, 2026</t>
        </is>
      </c>
      <c r="C132" s="17" t="n"/>
      <c r="D132" s="13">
        <f>SUBTOTAL(9,D129:D131)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7"/>
  <sheetViews>
    <sheetView tabSelected="1" topLeftCell="A42" zoomScale="258" zoomScaleNormal="258" workbookViewId="0">
      <selection activeCell="C62" sqref="C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Repair delivered — Ridgeline Trail Crew, billed net 15 (unpaid)</t>
        </is>
      </c>
      <c r="D55" s="4" t="n">
        <v>300</v>
      </c>
    </row>
    <row r="56" outlineLevel="1">
      <c r="B56" s="3" t="inlineStr">
        <is>
          <t>Parts used — Ridgeline Trail Crew</t>
        </is>
      </c>
      <c r="D56" s="4" t="n">
        <v>-75</v>
      </c>
    </row>
    <row r="57" outlineLevel="1">
      <c r="B57" s="3" t="inlineStr">
        <is>
          <t>Frame delivered — J. Smith (deposit earned)</t>
        </is>
      </c>
      <c r="D57" s="4" t="n">
        <v>220</v>
      </c>
    </row>
    <row r="58" outlineLevel="1">
      <c r="B58" s="3" t="inlineStr">
        <is>
          <t>Parts used — J. Smith</t>
        </is>
      </c>
      <c r="D58" s="4" t="n">
        <v>-36</v>
      </c>
    </row>
    <row r="59" outlineLevel="1">
      <c r="B59" s="3" t="inlineStr">
        <is>
          <t>Depreciation — tools &amp; repair equipment, Summer 2026</t>
        </is>
      </c>
      <c r="D59" s="4" t="n">
        <v>-160</v>
      </c>
    </row>
    <row r="60" outlineLevel="1">
      <c r="B60" s="3" t="inlineStr">
        <is>
          <t>Depreciation — fixtures, Summer 2026</t>
        </is>
      </c>
      <c r="D60" s="4" t="n">
        <v>-40</v>
      </c>
    </row>
    <row r="61" outlineLevel="1">
      <c r="B61" s="3" t="inlineStr">
        <is>
          <t>Depreciation — laptop, Summer 2026</t>
        </is>
      </c>
      <c r="D61" s="4" t="n">
        <v>-30</v>
      </c>
    </row>
    <row r="62" outlineLevel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 outlineLevel="1">
      <c r="B63" s="3" t="n"/>
      <c r="D63" s="4" t="n"/>
    </row>
    <row r="64" outlineLevel="1">
      <c r="B64" s="6" t="inlineStr">
        <is>
          <t>WITHDRAWN</t>
        </is>
      </c>
      <c r="C64" s="11" t="n"/>
      <c r="D64" s="11" t="n"/>
    </row>
    <row r="65" outlineLevel="1">
      <c r="B65" s="16" t="inlineStr">
        <is>
          <t>Balance, June 1, 2026</t>
        </is>
      </c>
      <c r="C65" s="17" t="n"/>
      <c r="D65" s="13" t="n">
        <v>0</v>
      </c>
    </row>
    <row r="66" outlineLevel="1">
      <c r="B66" s="3" t="inlineStr">
        <is>
          <t>Owner's draw — money taken out for personal use</t>
        </is>
      </c>
      <c r="D66" s="4" t="n">
        <v>-600</v>
      </c>
    </row>
    <row r="67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1:D50"/>
  <sheetViews>
    <sheetView zoomScale="124" zoomScaleNormal="124" workbookViewId="0">
      <selection activeCell="F50" sqref="F50"/>
    </sheetView>
  </sheetViews>
  <sheetFormatPr baseColWidth="10" defaultRowHeight="15"/>
  <cols>
    <col width="5.5" customWidth="1" min="1" max="1"/>
    <col width="50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Repair delivered — Ridgeline Trail Crew, billed net 15 (unpaid)</t>
        </is>
      </c>
      <c r="D44" s="4" t="n">
        <v>300</v>
      </c>
    </row>
    <row r="45">
      <c r="B45" s="3" t="inlineStr">
        <is>
          <t>Parts used — Ridgeline Trail Crew</t>
        </is>
      </c>
      <c r="D45" s="4" t="n">
        <v>-75</v>
      </c>
    </row>
    <row r="46">
      <c r="B46" s="3" t="inlineStr">
        <is>
          <t>Frame delivered — J. Smith (deposit earned)</t>
        </is>
      </c>
      <c r="D46" s="4" t="n">
        <v>220</v>
      </c>
    </row>
    <row r="47">
      <c r="B47" s="3" t="inlineStr">
        <is>
          <t>Parts used — J. Smith</t>
        </is>
      </c>
      <c r="D47" s="4" t="n">
        <v>-36</v>
      </c>
    </row>
    <row r="48">
      <c r="B48" s="3" t="inlineStr">
        <is>
          <t>Depreciation — tools &amp; repair equipment, Summer 2026</t>
        </is>
      </c>
      <c r="C48" s="22" t="n"/>
      <c r="D48" s="23" t="n">
        <v>-160</v>
      </c>
    </row>
    <row r="49">
      <c r="B49" s="3" t="inlineStr">
        <is>
          <t>Depreciation — fixtures, Summer 2026</t>
        </is>
      </c>
      <c r="C49" s="22" t="n"/>
      <c r="D49" s="23" t="n">
        <v>-40</v>
      </c>
    </row>
    <row r="50">
      <c r="B50" s="3" t="inlineStr">
        <is>
          <t>Depreciation — laptop, Summer 2026</t>
        </is>
      </c>
      <c r="C50" s="22" t="n"/>
      <c r="D50" s="23" t="n">
        <v>-30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