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280" yWindow="700" windowWidth="25820" windowHeight="27720" tabRatio="600" firstSheet="0" activeTab="4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94"/>
  <sheetViews>
    <sheetView topLeftCell="A47" zoomScale="214" zoomScaleNormal="214" workbookViewId="0">
      <selection activeCell="B130" sqref="B13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7" t="n"/>
      <c r="D35" s="4" t="n"/>
    </row>
    <row r="36">
      <c r="B36" s="6" t="inlineStr">
        <is>
          <t>Right of Use</t>
        </is>
      </c>
      <c r="C36" s="11" t="n"/>
      <c r="D36" s="11" t="n"/>
    </row>
    <row r="37" hidden="1" outlineLevel="1">
      <c r="B37" s="3" t="inlineStr">
        <is>
          <t>Company received at formation (June 1)</t>
        </is>
      </c>
      <c r="D37" s="4" t="n">
        <v>650</v>
      </c>
    </row>
    <row r="38" collapsed="1">
      <c r="B38" s="16" t="inlineStr">
        <is>
          <t>Balance, June 1, 2026</t>
        </is>
      </c>
      <c r="C38" s="17" t="n"/>
      <c r="D38" s="13">
        <f>SUM(D37:D37)</f>
        <v>650</v>
        <v/>
      </c>
    </row>
    <row r="39">
      <c r="B39" s="16" t="inlineStr">
        <is>
          <t>Balance, August 31, 2026</t>
        </is>
      </c>
      <c r="C39" s="17" t="n"/>
      <c r="D39" s="13">
        <f>D38</f>
        <v>650</v>
        <v/>
      </c>
    </row>
    <row r="40">
      <c r="B40" s="7" t="n"/>
      <c r="D40" s="4" t="n"/>
    </row>
    <row r="41">
      <c r="B41" s="6" t="inlineStr">
        <is>
          <t>Parts</t>
        </is>
      </c>
      <c r="C41" s="11" t="n"/>
      <c r="D41" s="11" t="n"/>
    </row>
    <row r="42" hidden="1" outlineLevel="1">
      <c r="B42" s="3" t="inlineStr">
        <is>
          <t>Company received at formation (June 1)</t>
        </is>
      </c>
      <c r="D42" s="4" t="n">
        <v>200</v>
      </c>
    </row>
    <row r="43" collapsed="1">
      <c r="B43" s="16" t="inlineStr">
        <is>
          <t>Balance, June 1, 2026</t>
        </is>
      </c>
      <c r="C43" s="17" t="n"/>
      <c r="D43" s="13">
        <f>SUM(D42:D42)</f>
        <v>200</v>
        <v/>
      </c>
    </row>
    <row r="44" hidden="1" outlineLevel="1">
      <c r="B44" s="3" t="inlineStr">
        <is>
          <t>Chains ×10 (June)</t>
        </is>
      </c>
      <c r="C44" s="17" t="n"/>
      <c r="D44" s="4" t="n">
        <v>150</v>
      </c>
    </row>
    <row r="45" hidden="1" outlineLevel="1">
      <c r="B45" s="3" t="inlineStr">
        <is>
          <t>11-spd cassettes ×4 (June)</t>
        </is>
      </c>
      <c r="D45" s="4" t="n">
        <v>160</v>
      </c>
    </row>
    <row r="46" hidden="1" outlineLevel="1">
      <c r="B46" s="3" t="inlineStr">
        <is>
          <t>Brake pad sets ×12 (June)</t>
        </is>
      </c>
      <c r="D46" s="4" t="n">
        <v>90</v>
      </c>
    </row>
    <row r="47" hidden="1" outlineLevel="1">
      <c r="B47" s="3" t="inlineStr">
        <is>
          <t>Cables + housing (assorted) (June)</t>
        </is>
      </c>
      <c r="C47" s="11" t="n"/>
      <c r="D47" s="4" t="n">
        <v>60</v>
      </c>
    </row>
    <row r="48" hidden="1" outlineLevel="1">
      <c r="B48" s="3" t="inlineStr">
        <is>
          <t>Tubes ×10 (June)</t>
        </is>
      </c>
      <c r="D48" s="4" t="n">
        <v>40</v>
      </c>
    </row>
    <row r="49" hidden="1" outlineLevel="1">
      <c r="B49" s="3" t="inlineStr">
        <is>
          <t>Chainrings + jockey wheels (July)</t>
        </is>
      </c>
      <c r="C49" s="17" t="n"/>
      <c r="D49" s="4" t="n">
        <v>120</v>
      </c>
    </row>
    <row r="50" hidden="1" outlineLevel="1">
      <c r="B50" s="3" t="inlineStr">
        <is>
          <t>Bottom brackets ×3 (July)</t>
        </is>
      </c>
      <c r="C50" s="17" t="n"/>
      <c r="D50" s="4" t="n">
        <v>105</v>
      </c>
    </row>
    <row r="51" hidden="1" outlineLevel="1">
      <c r="B51" s="3" t="inlineStr">
        <is>
          <t>Shift cables + housing (July)</t>
        </is>
      </c>
      <c r="D51" s="4" t="n">
        <v>75</v>
      </c>
    </row>
    <row r="52" hidden="1" outlineLevel="1">
      <c r="B52" s="3" t="inlineStr">
        <is>
          <t>Tubeless sealant + valves (July)</t>
        </is>
      </c>
      <c r="C52" s="11" t="n"/>
      <c r="D52" s="4" t="n">
        <v>60</v>
      </c>
    </row>
    <row r="53" hidden="1" outlineLevel="1">
      <c r="B53" s="3" t="inlineStr">
        <is>
          <t>Spokes + nipples (July)</t>
        </is>
      </c>
      <c r="D53" s="4" t="n">
        <v>40</v>
      </c>
    </row>
    <row r="54" hidden="1" outlineLevel="1">
      <c r="B54" s="3" t="inlineStr">
        <is>
          <t>Tires ×4 (August)</t>
        </is>
      </c>
      <c r="D54" s="4" t="n">
        <v>130</v>
      </c>
    </row>
    <row r="55" hidden="1" outlineLevel="1">
      <c r="B55" s="3" t="inlineStr">
        <is>
          <t>Brake pads (assorted) (August)</t>
        </is>
      </c>
      <c r="D55" s="4" t="n">
        <v>70</v>
      </c>
    </row>
    <row r="56" hidden="1" outlineLevel="1">
      <c r="B56" s="3" t="inlineStr">
        <is>
          <t>Cables + housing (August)</t>
        </is>
      </c>
      <c r="D56" s="4" t="n">
        <v>50</v>
      </c>
    </row>
    <row r="57" hidden="1" outlineLevel="1">
      <c r="B57" s="3" t="inlineStr">
        <is>
          <t>Tubes ×8 (August)</t>
        </is>
      </c>
      <c r="D57" s="4" t="n">
        <v>30</v>
      </c>
    </row>
    <row r="58" hidden="1" outlineLevel="1">
      <c r="B58" s="3" t="inlineStr">
        <is>
          <t>Small parts (bolts, tape) (August)</t>
        </is>
      </c>
      <c r="D58" s="4" t="n">
        <v>20</v>
      </c>
    </row>
    <row r="59" hidden="1" outlineLevel="1">
      <c r="B59" s="3" t="inlineStr">
        <is>
          <t>Parts used — Dana R.</t>
        </is>
      </c>
      <c r="D59" s="4" t="n">
        <v>-10</v>
      </c>
    </row>
    <row r="60" hidden="1" outlineLevel="1">
      <c r="B60" s="3" t="inlineStr">
        <is>
          <t>Parts used — Priya S.</t>
        </is>
      </c>
      <c r="C60" s="17" t="n"/>
      <c r="D60" s="4" t="n">
        <v>-25</v>
      </c>
    </row>
    <row r="61" hidden="1" outlineLevel="1">
      <c r="B61" s="3" t="inlineStr">
        <is>
          <t>Parts used — Liam O.</t>
        </is>
      </c>
      <c r="D61" s="4" t="n">
        <v>-95</v>
      </c>
    </row>
    <row r="62" hidden="1" outlineLevel="1">
      <c r="B62" s="3" t="inlineStr">
        <is>
          <t>Parts used — Jamal W.</t>
        </is>
      </c>
      <c r="D62" s="4" t="n">
        <v>-60</v>
      </c>
    </row>
    <row r="63" hidden="1" outlineLevel="1">
      <c r="B63" s="3" t="inlineStr">
        <is>
          <t>Parts used — Erin K.</t>
        </is>
      </c>
      <c r="D63" s="4" t="n">
        <v>-40</v>
      </c>
    </row>
    <row r="64" hidden="1" outlineLevel="1">
      <c r="B64" s="3" t="inlineStr">
        <is>
          <t>Parts used — Noah B.</t>
        </is>
      </c>
      <c r="D64" s="4" t="n">
        <v>-65</v>
      </c>
    </row>
    <row r="65" hidden="1" outlineLevel="1">
      <c r="B65" s="3" t="inlineStr">
        <is>
          <t>Parts used — Grace L.</t>
        </is>
      </c>
      <c r="D65" s="4" t="n">
        <v>-35</v>
      </c>
    </row>
    <row r="66" hidden="1" outlineLevel="1">
      <c r="B66" s="3" t="inlineStr">
        <is>
          <t>Parts used — Theo H.</t>
        </is>
      </c>
      <c r="D66" s="4" t="n">
        <v>-25</v>
      </c>
    </row>
    <row r="67" hidden="1" outlineLevel="1">
      <c r="B67" s="3" t="inlineStr">
        <is>
          <t>Parts used — Maya P.</t>
        </is>
      </c>
      <c r="D67" s="4" t="n">
        <v>-125</v>
      </c>
    </row>
    <row r="68" hidden="1" outlineLevel="1">
      <c r="B68" s="3" t="inlineStr">
        <is>
          <t>Parts used — Owen C.</t>
        </is>
      </c>
      <c r="D68" s="4" t="n">
        <v>-55</v>
      </c>
    </row>
    <row r="69" hidden="1" outlineLevel="1">
      <c r="B69" s="3" t="inlineStr">
        <is>
          <t>Parts used — Ava D.</t>
        </is>
      </c>
      <c r="D69" s="4" t="n">
        <v>-45</v>
      </c>
    </row>
    <row r="70" hidden="1" outlineLevel="1">
      <c r="B70" s="3" t="inlineStr">
        <is>
          <t>Parts used — Leo F.</t>
        </is>
      </c>
      <c r="D70" s="4" t="n">
        <v>-100</v>
      </c>
    </row>
    <row r="71" hidden="1" outlineLevel="1">
      <c r="B71" s="3" t="inlineStr">
        <is>
          <t>Parts used — Nina V.</t>
        </is>
      </c>
      <c r="D71" s="4" t="n">
        <v>-80</v>
      </c>
    </row>
    <row r="72" hidden="1" outlineLevel="1">
      <c r="B72" s="3" t="inlineStr">
        <is>
          <t>Parts used — Caleb G.</t>
        </is>
      </c>
      <c r="D72" s="4" t="n">
        <v>-25</v>
      </c>
    </row>
    <row r="73" hidden="1" outlineLevel="1">
      <c r="B73" s="3" t="inlineStr">
        <is>
          <t>Parts used — Ruth A.</t>
        </is>
      </c>
      <c r="D73" s="4" t="n">
        <v>-129</v>
      </c>
    </row>
    <row r="74" hidden="1" outlineLevel="1">
      <c r="B74" s="3" t="inlineStr">
        <is>
          <t>Parts used — Sam Q.</t>
        </is>
      </c>
      <c r="D74" s="4" t="n">
        <v>-70</v>
      </c>
    </row>
    <row r="75" hidden="1" outlineLevel="1">
      <c r="B75" s="3" t="inlineStr">
        <is>
          <t>Parts used — Westville Bike Share</t>
        </is>
      </c>
      <c r="D75" s="4" t="n">
        <v>-105</v>
      </c>
    </row>
    <row r="76" hidden="1" outlineLevel="1">
      <c r="B76" s="3" t="inlineStr">
        <is>
          <t>Parts used — Ridgeline Trail Crew</t>
        </is>
      </c>
      <c r="D76" s="4" t="n">
        <v>-75</v>
      </c>
    </row>
    <row r="77" hidden="1" outlineLevel="1">
      <c r="B77" s="3" t="inlineStr">
        <is>
          <t>Parts used — J. Smith</t>
        </is>
      </c>
      <c r="D77" s="4" t="n">
        <v>-36</v>
      </c>
    </row>
    <row r="78" collapsed="1">
      <c r="B78" s="16" t="inlineStr">
        <is>
          <t>Balance, August 31, 2026</t>
        </is>
      </c>
      <c r="C78" s="17" t="n"/>
      <c r="D78" s="13">
        <f>D43+SUM(D44:D77)</f>
        <v>200</v>
        <v/>
      </c>
    </row>
    <row r="79">
      <c r="B79" s="3" t="n"/>
      <c r="D79" s="4" t="n"/>
    </row>
    <row r="80">
      <c r="B80" s="6" t="inlineStr">
        <is>
          <t>Tools &amp; Repair Equipment</t>
        </is>
      </c>
      <c r="C80" s="11" t="n"/>
      <c r="D80" s="11" t="n"/>
    </row>
    <row r="81" hidden="1" outlineLevel="1">
      <c r="B81" s="3" t="inlineStr">
        <is>
          <t>Company received at formation (June 1)</t>
        </is>
      </c>
      <c r="D81" s="4" t="n">
        <v>1200</v>
      </c>
    </row>
    <row r="82" collapsed="1">
      <c r="B82" s="16" t="inlineStr">
        <is>
          <t>Balance, June 1, 2026</t>
        </is>
      </c>
      <c r="C82" s="17" t="n"/>
      <c r="D82" s="13">
        <f>SUM(D81:D81)</f>
        <v>1200</v>
        <v/>
      </c>
    </row>
    <row r="83" hidden="1" outlineLevel="1">
      <c r="B83" s="3" t="inlineStr">
        <is>
          <t>New repair tool bought this season</t>
        </is>
      </c>
      <c r="D83" s="4" t="n">
        <v>400</v>
      </c>
    </row>
    <row r="84" collapsed="1">
      <c r="B84" s="16" t="inlineStr">
        <is>
          <t>Balance, August 31, 2026</t>
        </is>
      </c>
      <c r="C84" s="17" t="n"/>
      <c r="D84" s="13">
        <f>D82+SUM(D83:D83)</f>
        <v>1600</v>
        <v/>
      </c>
    </row>
    <row r="85">
      <c r="B85" s="3" t="n"/>
      <c r="D85" s="4" t="n"/>
    </row>
    <row r="86">
      <c r="B86" s="6" t="inlineStr">
        <is>
          <t>Fixtures</t>
        </is>
      </c>
      <c r="C86" s="11" t="n"/>
      <c r="D86" s="11" t="n"/>
    </row>
    <row r="87" hidden="1" outlineLevel="1">
      <c r="B87" s="3" t="inlineStr">
        <is>
          <t>Company received at formation (June 1)</t>
        </is>
      </c>
      <c r="D87" s="4" t="n">
        <v>750</v>
      </c>
    </row>
    <row r="88" collapsed="1">
      <c r="B88" s="16" t="inlineStr">
        <is>
          <t>Balance, June 1, 2026</t>
        </is>
      </c>
      <c r="C88" s="17" t="n"/>
      <c r="D88" s="13">
        <f>SUM(D87:D87)</f>
        <v>750</v>
        <v/>
      </c>
    </row>
    <row r="89">
      <c r="B89" s="16" t="inlineStr">
        <is>
          <t>Balance, August 31, 2026</t>
        </is>
      </c>
      <c r="C89" s="17" t="n"/>
      <c r="D89" s="13">
        <f>D88</f>
        <v>750</v>
        <v/>
      </c>
    </row>
    <row r="90">
      <c r="B90" s="3" t="n"/>
      <c r="D90" s="4" t="n"/>
    </row>
    <row r="91">
      <c r="B91" s="6" t="inlineStr">
        <is>
          <t>Laptop</t>
        </is>
      </c>
      <c r="C91" s="11" t="n"/>
      <c r="D91" s="11" t="n"/>
    </row>
    <row r="92" hidden="1" outlineLevel="1">
      <c r="B92" s="3" t="inlineStr">
        <is>
          <t>Company received at formation (June 1)</t>
        </is>
      </c>
      <c r="D92" s="4" t="n">
        <v>610</v>
      </c>
    </row>
    <row r="93" collapsed="1">
      <c r="B93" s="16" t="inlineStr">
        <is>
          <t>Balance, June 1, 2026</t>
        </is>
      </c>
      <c r="C93" s="17" t="n"/>
      <c r="D93" s="13">
        <f>SUM(D92:D92)</f>
        <v>610</v>
        <v/>
      </c>
    </row>
    <row r="94">
      <c r="B94" s="16" t="inlineStr">
        <is>
          <t>Balance, August 31, 2026</t>
        </is>
      </c>
      <c r="C94" s="17" t="n"/>
      <c r="D94" s="13">
        <f>D93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  <row r="13"/>
    <row r="14"/>
    <row r="15"/>
    <row r="16"/>
    <row r="17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3"/>
  <sheetViews>
    <sheetView zoomScale="258" zoomScaleNormal="258" workbookViewId="0">
      <selection activeCell="B21" sqref="B21:D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3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3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3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Parts used — Ridgeline Trail Crew</t>
        </is>
      </c>
      <c r="D55" s="4" t="n">
        <v>-75</v>
      </c>
    </row>
    <row r="56" hidden="1" outlineLevel="1">
      <c r="B56" s="3" t="inlineStr">
        <is>
          <t>Frame delivered — J. Smith (deposit earned)</t>
        </is>
      </c>
      <c r="D56" s="4" t="n">
        <v>220</v>
      </c>
    </row>
    <row r="57" hidden="1" outlineLevel="1">
      <c r="B57" s="3" t="inlineStr">
        <is>
          <t>Parts used — J. Smith</t>
        </is>
      </c>
      <c r="D57" s="4" t="n">
        <v>-36</v>
      </c>
    </row>
    <row r="58" collapsed="1">
      <c r="B58" s="16" t="inlineStr">
        <is>
          <t>Balance, August 31, 2026</t>
        </is>
      </c>
      <c r="C58" s="17" t="n"/>
      <c r="D58" s="13">
        <f>SUBTOTAL(9,D16:D57)</f>
        <v>2570</v>
        <v/>
      </c>
    </row>
    <row r="59">
      <c r="B59" s="3" t="n"/>
      <c r="D59" s="4" t="n"/>
    </row>
    <row r="60">
      <c r="B60" s="6" t="inlineStr">
        <is>
          <t>WITHDRAWN</t>
        </is>
      </c>
      <c r="C60" s="11" t="n"/>
      <c r="D60" s="11" t="n"/>
    </row>
    <row r="61">
      <c r="B61" s="16" t="inlineStr">
        <is>
          <t>Balance, June 1, 2026</t>
        </is>
      </c>
      <c r="C61" s="17" t="n"/>
      <c r="D61" s="13" t="n">
        <v>0</v>
      </c>
    </row>
    <row r="62" hidden="1" outlineLevel="1">
      <c r="B62" s="3" t="inlineStr">
        <is>
          <t>Owner's draw — money taken out for personal use</t>
        </is>
      </c>
      <c r="D62" s="4" t="n">
        <v>-600</v>
      </c>
    </row>
    <row r="63" collapsed="1">
      <c r="B63" s="16" t="inlineStr">
        <is>
          <t>Balance, August 31, 2026</t>
        </is>
      </c>
      <c r="C63" s="17" t="n"/>
      <c r="D63" s="13">
        <f>SUM(D61:D62)</f>
        <v>-600</v>
        <v/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1:D46"/>
  <sheetViews>
    <sheetView tabSelected="1" zoomScale="124" zoomScaleNormal="124" workbookViewId="0">
      <selection activeCell="H55" sqref="H55"/>
    </sheetView>
  </sheetViews>
  <sheetFormatPr baseColWidth="10" defaultRowHeight="15"/>
  <cols>
    <col width="5.5" customWidth="1" min="1" max="1"/>
    <col width="37.1640625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Parts used — Ridgeline Trail Crew</t>
        </is>
      </c>
      <c r="D44" s="4" t="n">
        <v>-75</v>
      </c>
    </row>
    <row r="45">
      <c r="B45" s="3" t="inlineStr">
        <is>
          <t>Frame delivered — J. Smith (deposit earned)</t>
        </is>
      </c>
      <c r="D45" s="4" t="n">
        <v>220</v>
      </c>
    </row>
    <row r="46">
      <c r="B46" s="3" t="inlineStr">
        <is>
          <t>Parts used — J. Smith</t>
        </is>
      </c>
      <c r="D46" s="4" t="n">
        <v>-36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2026-07-24T21:57:59Z</dcterms:modified>
  <cp:lastModifiedBy>Antle, Rick</cp:lastModifiedBy>
</cp:coreProperties>
</file>