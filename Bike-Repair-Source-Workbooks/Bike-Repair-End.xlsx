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540" yWindow="2240" windowWidth="26120" windowHeight="27720" tabRatio="600" firstSheet="0" activeTab="0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Income Statement" sheetId="5" state="visible" r:id="rId5"/>
    <sheet name="St_Members_Capital" sheetId="6" state="visible" r:id="rId6"/>
    <sheet name="Cash_Flow_Statemen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i val="1"/>
      <sz val="11"/>
    </font>
    <font>
      <name val="Calibri"/>
      <family val="2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3" tint="0.7999816888943144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/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0" fontId="4" fillId="0" borderId="0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6" fillId="0" borderId="0" pivotButton="0" quotePrefix="0" xfId="0"/>
    <xf numFmtId="0" fontId="3" fillId="0" borderId="0" pivotButton="0" quotePrefix="0" xfId="0"/>
    <xf numFmtId="165" fontId="7" fillId="0" borderId="0" pivotButton="0" quotePrefix="0" xfId="0"/>
    <xf numFmtId="0" fontId="3" fillId="5" borderId="2" pivotButton="0" quotePrefix="0" xfId="0"/>
    <xf numFmtId="0" fontId="0" fillId="5" borderId="2" pivotButton="0" quotePrefix="0" xfId="0"/>
    <xf numFmtId="165" fontId="2" fillId="5" borderId="2" pivotButton="0" quotePrefix="0" xfId="0"/>
    <xf numFmtId="41" fontId="3" fillId="0" borderId="0" pivotButton="0" quotePrefix="0" xfId="0"/>
    <xf numFmtId="0" fontId="2" fillId="6" borderId="0" pivotButton="0" quotePrefix="0" xfId="0"/>
    <xf numFmtId="165" fontId="3" fillId="0" borderId="0" pivotButton="0" quotePrefix="0" xfId="0"/>
    <xf numFmtId="165" fontId="5" fillId="0" borderId="0" pivotButton="0" quotePrefix="0" xfId="0"/>
    <xf numFmtId="165" fontId="0" fillId="0" borderId="3" pivotButton="0" quotePrefix="0" xfId="0"/>
    <xf numFmtId="0" fontId="0" fillId="4" borderId="4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D100"/>
  <sheetViews>
    <sheetView tabSelected="1" zoomScale="214" zoomScaleNormal="214"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additional contribution (Section 10)</t>
        </is>
      </c>
      <c r="D3" s="4" t="n">
        <v>1300</v>
      </c>
    </row>
    <row r="4" collapsed="1">
      <c r="B4" s="16" t="inlineStr">
        <is>
          <t>Balance, June 1, 2026</t>
        </is>
      </c>
      <c r="C4" s="17" t="n"/>
      <c r="D4" s="13">
        <f>SUM(D3:D3)</f>
        <v>1300</v>
      </c>
    </row>
    <row r="5" hidden="1" outlineLevel="1">
      <c r="B5" s="7" t="inlineStr">
        <is>
          <t>Repair collected — Dana R.</t>
        </is>
      </c>
      <c r="D5" s="4" t="n">
        <v>120</v>
      </c>
    </row>
    <row r="6" hidden="1" outlineLevel="1">
      <c r="B6" s="7" t="inlineStr">
        <is>
          <t>Repair collected — Marcus T.</t>
        </is>
      </c>
      <c r="D6" s="4" t="n">
        <v>150</v>
      </c>
    </row>
    <row r="7" hidden="1" outlineLevel="1">
      <c r="B7" s="7" t="inlineStr">
        <is>
          <t>Repair collected — Priya S.</t>
        </is>
      </c>
      <c r="D7" s="4" t="n">
        <v>270</v>
      </c>
    </row>
    <row r="8" hidden="1" outlineLevel="1">
      <c r="B8" s="7" t="inlineStr">
        <is>
          <t>Repair collected — Liam O.</t>
        </is>
      </c>
      <c r="D8" s="4" t="n">
        <v>300</v>
      </c>
    </row>
    <row r="9" hidden="1" outlineLevel="1">
      <c r="B9" s="7" t="inlineStr">
        <is>
          <t>Repair collected — Sofia M.</t>
        </is>
      </c>
      <c r="D9" s="4" t="n">
        <v>150</v>
      </c>
    </row>
    <row r="10" hidden="1" outlineLevel="1">
      <c r="B10" s="7" t="inlineStr">
        <is>
          <t>Repair collected — Jamal W.</t>
        </is>
      </c>
      <c r="D10" s="4" t="n">
        <v>360</v>
      </c>
    </row>
    <row r="11" hidden="1" outlineLevel="1">
      <c r="B11" s="7" t="inlineStr">
        <is>
          <t>Repair collected — Erin K.</t>
        </is>
      </c>
      <c r="D11" s="4" t="n">
        <v>225</v>
      </c>
    </row>
    <row r="12" hidden="1" outlineLevel="1">
      <c r="B12" s="7" t="inlineStr">
        <is>
          <t>Repair collected — Noah B.</t>
        </is>
      </c>
      <c r="D12" s="4" t="n">
        <v>210</v>
      </c>
    </row>
    <row r="13" hidden="1" outlineLevel="1">
      <c r="B13" s="7" t="inlineStr">
        <is>
          <t>Repair collected — Grace L.</t>
        </is>
      </c>
      <c r="D13" s="4" t="n">
        <v>240</v>
      </c>
    </row>
    <row r="14" hidden="1" outlineLevel="1">
      <c r="B14" s="7" t="inlineStr">
        <is>
          <t>Repair collected — Theo H.</t>
        </is>
      </c>
      <c r="D14" s="4" t="n">
        <v>240</v>
      </c>
    </row>
    <row r="15" hidden="1" outlineLevel="1">
      <c r="B15" s="7" t="inlineStr">
        <is>
          <t>Repair collected — Maya P.</t>
        </is>
      </c>
      <c r="C15" s="17" t="n"/>
      <c r="D15" s="4" t="n">
        <v>450</v>
      </c>
    </row>
    <row r="16" hidden="1" outlineLevel="1">
      <c r="B16" s="7" t="inlineStr">
        <is>
          <t>Repair collected — Owen C.</t>
        </is>
      </c>
      <c r="D16" s="4" t="n">
        <v>360</v>
      </c>
    </row>
    <row r="17" hidden="1" outlineLevel="1">
      <c r="B17" s="7" t="inlineStr">
        <is>
          <t>Repair collected — Ava D.</t>
        </is>
      </c>
      <c r="D17" s="4" t="n">
        <v>270</v>
      </c>
    </row>
    <row r="18" hidden="1" outlineLevel="1">
      <c r="B18" s="7" t="inlineStr">
        <is>
          <t>Repair collected — Leo F.</t>
        </is>
      </c>
      <c r="D18" s="4" t="n">
        <v>240</v>
      </c>
    </row>
    <row r="19" hidden="1" outlineLevel="1">
      <c r="B19" s="7" t="inlineStr">
        <is>
          <t>Repair collected — Nina V.</t>
        </is>
      </c>
      <c r="D19" s="4" t="n">
        <v>300</v>
      </c>
    </row>
    <row r="20" hidden="1" outlineLevel="1">
      <c r="B20" s="7" t="inlineStr">
        <is>
          <t>Repair collected — Caleb G.</t>
        </is>
      </c>
      <c r="D20" s="4" t="n">
        <v>240</v>
      </c>
    </row>
    <row r="21" hidden="1" outlineLevel="1">
      <c r="B21" s="7" t="inlineStr">
        <is>
          <t>Repair collected — Ruth A.</t>
        </is>
      </c>
      <c r="D21" s="4" t="n">
        <v>485</v>
      </c>
    </row>
    <row r="22" hidden="1" outlineLevel="1">
      <c r="B22" s="7" t="inlineStr">
        <is>
          <t>Repair collected — Sam Q.</t>
        </is>
      </c>
      <c r="D22" s="4" t="n">
        <v>390</v>
      </c>
    </row>
    <row r="23" hidden="1" outlineLevel="1">
      <c r="B23" s="7" t="inlineStr">
        <is>
          <t>Repair collected — Westville Bike Share</t>
        </is>
      </c>
      <c r="D23" s="4" t="n">
        <v>500</v>
      </c>
    </row>
    <row r="24" hidden="1" outlineLevel="1">
      <c r="B24" s="7" t="inlineStr">
        <is>
          <t>Parts bought — June</t>
        </is>
      </c>
      <c r="D24" s="4" t="n">
        <v>-500</v>
      </c>
    </row>
    <row r="25" hidden="1" outlineLevel="1">
      <c r="B25" s="7" t="inlineStr">
        <is>
          <t>Parts bought — July</t>
        </is>
      </c>
      <c r="D25" s="4" t="n">
        <v>-400</v>
      </c>
    </row>
    <row r="26" hidden="1" outlineLevel="1">
      <c r="B26" s="7" t="inlineStr">
        <is>
          <t>Parts bought — August</t>
        </is>
      </c>
      <c r="D26" s="4" t="n">
        <v>-300</v>
      </c>
    </row>
    <row r="27" hidden="1" outlineLevel="1">
      <c r="B27" s="7" t="inlineStr">
        <is>
          <t>Rent paid — June</t>
        </is>
      </c>
      <c r="D27" s="4" t="n">
        <v>-650</v>
      </c>
    </row>
    <row r="28" hidden="1" outlineLevel="1">
      <c r="B28" s="7" t="inlineStr">
        <is>
          <t>Rent paid — July</t>
        </is>
      </c>
      <c r="D28" s="4" t="n">
        <v>-650</v>
      </c>
    </row>
    <row r="29" hidden="1" outlineLevel="1">
      <c r="B29" s="7" t="inlineStr">
        <is>
          <t>Rent paid — August</t>
        </is>
      </c>
      <c r="D29" s="4" t="n">
        <v>-650</v>
      </c>
    </row>
    <row r="30" hidden="1" outlineLevel="1">
      <c r="B30" s="7" t="inlineStr">
        <is>
          <t>Wheel truing stand</t>
        </is>
      </c>
      <c r="D30" s="4" t="n">
        <v>-400</v>
      </c>
    </row>
    <row r="31" hidden="1" outlineLevel="1">
      <c r="B31" s="7" t="inlineStr">
        <is>
          <t>Credit card paid off</t>
        </is>
      </c>
      <c r="D31" s="4" t="n">
        <v>-2030</v>
      </c>
    </row>
    <row r="32" hidden="1" outlineLevel="1">
      <c r="B32" s="7" t="inlineStr">
        <is>
          <t>Money taken out for personal use</t>
        </is>
      </c>
      <c r="D32" s="4" t="n">
        <v>-600</v>
      </c>
    </row>
    <row r="33" collapsed="1">
      <c r="B33" s="16" t="inlineStr">
        <is>
          <t>Balance, August 31, 2026</t>
        </is>
      </c>
      <c r="C33" s="17" t="n"/>
      <c r="D33" s="13">
        <f>D4+SUM(D5:D32)</f>
        <v>620</v>
      </c>
    </row>
    <row r="34">
      <c r="B34" s="7" t="n"/>
      <c r="D34" s="4" t="n"/>
    </row>
    <row r="35">
      <c r="B35" s="6" t="inlineStr">
        <is>
          <t>Accounts Receivable</t>
        </is>
      </c>
      <c r="C35" s="11" t="n"/>
      <c r="D35" s="11" t="n"/>
    </row>
    <row r="36" outlineLevel="1">
      <c r="B36" s="3" t="inlineStr">
        <is>
          <t>Ridgeline Trail Crew — finished Aug 28, net 15 (unpaid)</t>
        </is>
      </c>
      <c r="D36" s="4" t="n">
        <v>300</v>
      </c>
    </row>
    <row r="37">
      <c r="B37" s="16" t="inlineStr">
        <is>
          <t>Balance, August 31, 2026</t>
        </is>
      </c>
      <c r="C37" s="17" t="n"/>
      <c r="D37" s="13">
        <f>SUM(D36:D36)</f>
        <v>300</v>
      </c>
    </row>
    <row r="38">
      <c r="B38" s="7" t="n"/>
      <c r="D38" s="4" t="n"/>
    </row>
    <row r="39">
      <c r="B39" s="6" t="inlineStr">
        <is>
          <t>Right of Use</t>
        </is>
      </c>
      <c r="C39" s="11" t="n"/>
      <c r="D39" s="11" t="n"/>
    </row>
    <row r="40" hidden="1" outlineLevel="1">
      <c r="B40" s="3" t="inlineStr">
        <is>
          <t>Company received at formation (June 1)</t>
        </is>
      </c>
      <c r="D40" s="4" t="n">
        <v>650</v>
      </c>
    </row>
    <row r="41" collapsed="1">
      <c r="B41" s="16" t="inlineStr">
        <is>
          <t>Balance, June 1, 2026</t>
        </is>
      </c>
      <c r="C41" s="17" t="n"/>
      <c r="D41" s="13">
        <f>SUM(D40:D40)</f>
        <v>650</v>
      </c>
    </row>
    <row r="42">
      <c r="B42" s="16" t="inlineStr">
        <is>
          <t>Balance, August 31, 2026</t>
        </is>
      </c>
      <c r="C42" s="17" t="n"/>
      <c r="D42" s="13">
        <f>D41</f>
        <v>650</v>
      </c>
    </row>
    <row r="43">
      <c r="B43" s="7" t="n"/>
      <c r="D43" s="4" t="n"/>
    </row>
    <row r="44">
      <c r="B44" s="6" t="inlineStr">
        <is>
          <t>Parts</t>
        </is>
      </c>
      <c r="C44" s="11" t="n"/>
      <c r="D44" s="11" t="n"/>
    </row>
    <row r="45" hidden="1" outlineLevel="1">
      <c r="B45" s="3" t="inlineStr">
        <is>
          <t>Company received at formation (June 1)</t>
        </is>
      </c>
      <c r="D45" s="4" t="n">
        <v>200</v>
      </c>
    </row>
    <row r="46" collapsed="1">
      <c r="B46" s="16" t="inlineStr">
        <is>
          <t>Balance, June 1, 2026</t>
        </is>
      </c>
      <c r="C46" s="17" t="n"/>
      <c r="D46" s="13">
        <f>SUM(D45:D45)</f>
        <v>200</v>
      </c>
    </row>
    <row r="47" hidden="1" outlineLevel="1">
      <c r="B47" s="3" t="inlineStr">
        <is>
          <t>Chains ×10 (June)</t>
        </is>
      </c>
      <c r="D47" s="4" t="n">
        <v>150</v>
      </c>
    </row>
    <row r="48" hidden="1" outlineLevel="1">
      <c r="B48" s="3" t="inlineStr">
        <is>
          <t>11-spd cassettes ×4 (June)</t>
        </is>
      </c>
      <c r="C48" s="17" t="n"/>
      <c r="D48" s="4" t="n">
        <v>160</v>
      </c>
    </row>
    <row r="49" hidden="1" outlineLevel="1">
      <c r="B49" s="3" t="inlineStr">
        <is>
          <t>Brake pad sets ×12 (June)</t>
        </is>
      </c>
      <c r="D49" s="4" t="n">
        <v>90</v>
      </c>
    </row>
    <row r="50" hidden="1" outlineLevel="1">
      <c r="B50" s="3" t="inlineStr">
        <is>
          <t>Cables + housing (assorted) (June)</t>
        </is>
      </c>
      <c r="C50" s="11" t="n"/>
      <c r="D50" s="4" t="n">
        <v>60</v>
      </c>
    </row>
    <row r="51" hidden="1" outlineLevel="1">
      <c r="B51" s="3" t="inlineStr">
        <is>
          <t>Tubes ×10 (June)</t>
        </is>
      </c>
      <c r="D51" s="4" t="n">
        <v>40</v>
      </c>
    </row>
    <row r="52" hidden="1" outlineLevel="1">
      <c r="B52" s="3" t="inlineStr">
        <is>
          <t>Chainrings + jockey wheels (July)</t>
        </is>
      </c>
      <c r="C52" s="17" t="n"/>
      <c r="D52" s="4" t="n">
        <v>120</v>
      </c>
    </row>
    <row r="53" hidden="1" outlineLevel="1">
      <c r="B53" s="3" t="inlineStr">
        <is>
          <t>Bottom brackets ×3 (July)</t>
        </is>
      </c>
      <c r="C53" s="17" t="n"/>
      <c r="D53" s="4" t="n">
        <v>105</v>
      </c>
    </row>
    <row r="54" hidden="1" outlineLevel="1">
      <c r="B54" s="3" t="inlineStr">
        <is>
          <t>Shift cables + housing (July)</t>
        </is>
      </c>
      <c r="D54" s="4" t="n">
        <v>75</v>
      </c>
    </row>
    <row r="55" hidden="1" outlineLevel="1">
      <c r="B55" s="3" t="inlineStr">
        <is>
          <t>Tubeless sealant + valves (July)</t>
        </is>
      </c>
      <c r="C55" s="11" t="n"/>
      <c r="D55" s="4" t="n">
        <v>60</v>
      </c>
    </row>
    <row r="56" hidden="1" outlineLevel="1">
      <c r="B56" s="3" t="inlineStr">
        <is>
          <t>Spokes + nipples (July)</t>
        </is>
      </c>
      <c r="D56" s="4" t="n">
        <v>40</v>
      </c>
    </row>
    <row r="57" hidden="1" outlineLevel="1">
      <c r="B57" s="3" t="inlineStr">
        <is>
          <t>Tires ×4 (August)</t>
        </is>
      </c>
      <c r="D57" s="4" t="n">
        <v>130</v>
      </c>
    </row>
    <row r="58" hidden="1" outlineLevel="1">
      <c r="B58" s="3" t="inlineStr">
        <is>
          <t>Brake pads (assorted) (August)</t>
        </is>
      </c>
      <c r="D58" s="4" t="n">
        <v>70</v>
      </c>
    </row>
    <row r="59" hidden="1" outlineLevel="1">
      <c r="B59" s="3" t="inlineStr">
        <is>
          <t>Cables + housing (August)</t>
        </is>
      </c>
      <c r="D59" s="4" t="n">
        <v>50</v>
      </c>
    </row>
    <row r="60" hidden="1" outlineLevel="1">
      <c r="B60" s="3" t="inlineStr">
        <is>
          <t>Tubes ×8 (August)</t>
        </is>
      </c>
      <c r="D60" s="4" t="n">
        <v>30</v>
      </c>
    </row>
    <row r="61" hidden="1" outlineLevel="1">
      <c r="B61" s="3" t="inlineStr">
        <is>
          <t>Small parts (bolts, tape) (August)</t>
        </is>
      </c>
      <c r="D61" s="4" t="n">
        <v>20</v>
      </c>
    </row>
    <row r="62" hidden="1" outlineLevel="1">
      <c r="B62" s="3" t="inlineStr">
        <is>
          <t>Parts used — Dana R.</t>
        </is>
      </c>
      <c r="D62" s="4" t="n">
        <v>-10</v>
      </c>
    </row>
    <row r="63" hidden="1" outlineLevel="1">
      <c r="B63" s="3" t="inlineStr">
        <is>
          <t>Parts used — Priya S.</t>
        </is>
      </c>
      <c r="C63" s="17" t="n"/>
      <c r="D63" s="4" t="n">
        <v>-25</v>
      </c>
    </row>
    <row r="64" hidden="1" outlineLevel="1">
      <c r="B64" s="3" t="inlineStr">
        <is>
          <t>Parts used — Liam O.</t>
        </is>
      </c>
      <c r="D64" s="4" t="n">
        <v>-95</v>
      </c>
    </row>
    <row r="65" hidden="1" outlineLevel="1">
      <c r="B65" s="3" t="inlineStr">
        <is>
          <t>Parts used — Jamal W.</t>
        </is>
      </c>
      <c r="D65" s="4" t="n">
        <v>-60</v>
      </c>
    </row>
    <row r="66" hidden="1" outlineLevel="1">
      <c r="B66" s="3" t="inlineStr">
        <is>
          <t>Parts used — Erin K.</t>
        </is>
      </c>
      <c r="D66" s="4" t="n">
        <v>-40</v>
      </c>
    </row>
    <row r="67" hidden="1" outlineLevel="1">
      <c r="B67" s="3" t="inlineStr">
        <is>
          <t>Parts used — Noah B.</t>
        </is>
      </c>
      <c r="D67" s="4" t="n">
        <v>-65</v>
      </c>
    </row>
    <row r="68" hidden="1" outlineLevel="1">
      <c r="B68" s="3" t="inlineStr">
        <is>
          <t>Parts used — Grace L.</t>
        </is>
      </c>
      <c r="D68" s="4" t="n">
        <v>-35</v>
      </c>
    </row>
    <row r="69" hidden="1" outlineLevel="1">
      <c r="B69" s="3" t="inlineStr">
        <is>
          <t>Parts used — Theo H.</t>
        </is>
      </c>
      <c r="D69" s="4" t="n">
        <v>-25</v>
      </c>
    </row>
    <row r="70" hidden="1" outlineLevel="1">
      <c r="B70" s="3" t="inlineStr">
        <is>
          <t>Parts used — Maya P.</t>
        </is>
      </c>
      <c r="D70" s="4" t="n">
        <v>-125</v>
      </c>
    </row>
    <row r="71" hidden="1" outlineLevel="1">
      <c r="B71" s="3" t="inlineStr">
        <is>
          <t>Parts used — Owen C.</t>
        </is>
      </c>
      <c r="D71" s="4" t="n">
        <v>-55</v>
      </c>
    </row>
    <row r="72" hidden="1" outlineLevel="1">
      <c r="B72" s="3" t="inlineStr">
        <is>
          <t>Parts used — Ava D.</t>
        </is>
      </c>
      <c r="D72" s="4" t="n">
        <v>-45</v>
      </c>
    </row>
    <row r="73" hidden="1" outlineLevel="1">
      <c r="B73" s="3" t="inlineStr">
        <is>
          <t>Parts used — Leo F.</t>
        </is>
      </c>
      <c r="D73" s="4" t="n">
        <v>-100</v>
      </c>
    </row>
    <row r="74" hidden="1" outlineLevel="1">
      <c r="B74" s="3" t="inlineStr">
        <is>
          <t>Parts used — Nina V.</t>
        </is>
      </c>
      <c r="D74" s="4" t="n">
        <v>-80</v>
      </c>
    </row>
    <row r="75" hidden="1" outlineLevel="1">
      <c r="B75" s="3" t="inlineStr">
        <is>
          <t>Parts used — Caleb G.</t>
        </is>
      </c>
      <c r="D75" s="4" t="n">
        <v>-25</v>
      </c>
    </row>
    <row r="76" hidden="1" outlineLevel="1">
      <c r="B76" s="3" t="inlineStr">
        <is>
          <t>Parts used — Ruth A.</t>
        </is>
      </c>
      <c r="D76" s="4" t="n">
        <v>-129</v>
      </c>
    </row>
    <row r="77" hidden="1" outlineLevel="1">
      <c r="B77" s="3" t="inlineStr">
        <is>
          <t>Parts used — Sam Q.</t>
        </is>
      </c>
      <c r="D77" s="4" t="n">
        <v>-70</v>
      </c>
    </row>
    <row r="78" hidden="1" outlineLevel="1">
      <c r="B78" s="3" t="inlineStr">
        <is>
          <t>Parts used — Westville Bike Share</t>
        </is>
      </c>
      <c r="D78" s="4" t="n">
        <v>-105</v>
      </c>
    </row>
    <row r="79" hidden="1" outlineLevel="1">
      <c r="B79" s="3" t="inlineStr">
        <is>
          <t>Parts used — Ridgeline Trail Crew</t>
        </is>
      </c>
      <c r="D79" s="4" t="n">
        <v>-75</v>
      </c>
    </row>
    <row r="80" hidden="1" outlineLevel="1">
      <c r="B80" s="3" t="inlineStr">
        <is>
          <t>Parts used — J. Smith</t>
        </is>
      </c>
      <c r="D80" s="4" t="n">
        <v>-36</v>
      </c>
    </row>
    <row r="81" collapsed="1">
      <c r="B81" s="16" t="inlineStr">
        <is>
          <t>Balance, August 31, 2026</t>
        </is>
      </c>
      <c r="C81" s="17" t="n"/>
      <c r="D81" s="13">
        <f>D46+SUM(D47:D80)</f>
        <v>200</v>
      </c>
    </row>
    <row r="82">
      <c r="B82" s="3" t="n"/>
      <c r="D82" s="4" t="n"/>
    </row>
    <row r="83">
      <c r="B83" s="6" t="inlineStr">
        <is>
          <t>Tools &amp; Repair Equipment</t>
        </is>
      </c>
      <c r="C83" s="11" t="n"/>
      <c r="D83" s="11" t="n"/>
    </row>
    <row r="84" hidden="1" outlineLevel="1">
      <c r="B84" s="3" t="inlineStr">
        <is>
          <t>Company received at formation (June 1)</t>
        </is>
      </c>
      <c r="D84" s="4" t="n">
        <v>1200</v>
      </c>
    </row>
    <row r="85" collapsed="1">
      <c r="B85" s="16" t="inlineStr">
        <is>
          <t>Balance, June 1, 2026</t>
        </is>
      </c>
      <c r="C85" s="17" t="n"/>
      <c r="D85" s="13">
        <f>SUM(D84:D84)</f>
        <v>1200</v>
      </c>
    </row>
    <row r="86" hidden="1" outlineLevel="1">
      <c r="B86" s="3" t="inlineStr">
        <is>
          <t>Wheel truing stand bought this season</t>
        </is>
      </c>
      <c r="D86" s="4" t="n">
        <v>400</v>
      </c>
    </row>
    <row r="87" hidden="1" outlineLevel="1">
      <c r="B87" s="3" t="inlineStr">
        <is>
          <t>Depreciation — Summer 2026 (the season's share of the cost)</t>
        </is>
      </c>
      <c r="D87" s="4" t="n">
        <v>-160</v>
      </c>
    </row>
    <row r="88" collapsed="1">
      <c r="B88" s="16" t="inlineStr">
        <is>
          <t>Balance, August 31, 2026</t>
        </is>
      </c>
      <c r="C88" s="17" t="n"/>
      <c r="D88" s="13">
        <f>D85+SUM(D86:D87)</f>
        <v>1440</v>
      </c>
    </row>
    <row r="89">
      <c r="B89" s="3" t="n"/>
      <c r="D89" s="4" t="n"/>
    </row>
    <row r="90">
      <c r="B90" s="6" t="inlineStr">
        <is>
          <t>Fixtures</t>
        </is>
      </c>
      <c r="C90" s="11" t="n"/>
      <c r="D90" s="11" t="n"/>
    </row>
    <row r="91" hidden="1" outlineLevel="1">
      <c r="B91" s="3" t="inlineStr">
        <is>
          <t>Company received at formation (June 1)</t>
        </is>
      </c>
      <c r="D91" s="4" t="n">
        <v>750</v>
      </c>
    </row>
    <row r="92" collapsed="1">
      <c r="B92" s="16" t="inlineStr">
        <is>
          <t>Balance, June 1, 2026</t>
        </is>
      </c>
      <c r="C92" s="17" t="n"/>
      <c r="D92" s="13">
        <f>SUM(D91:D91)</f>
        <v>750</v>
      </c>
    </row>
    <row r="93" hidden="1" outlineLevel="1">
      <c r="B93" s="3" t="inlineStr">
        <is>
          <t>Depreciation — Summer 2026 (the season's share of the cost)</t>
        </is>
      </c>
      <c r="D93" s="4" t="n">
        <v>-40</v>
      </c>
    </row>
    <row r="94" collapsed="1">
      <c r="B94" s="16" t="inlineStr">
        <is>
          <t>Balance, August 31, 2026</t>
        </is>
      </c>
      <c r="C94" s="17" t="n"/>
      <c r="D94" s="13">
        <f>D92+SUM(D93:D93)</f>
        <v>710</v>
      </c>
    </row>
    <row r="95">
      <c r="B95" s="3" t="n"/>
      <c r="D95" s="4" t="n"/>
    </row>
    <row r="96">
      <c r="B96" s="6" t="inlineStr">
        <is>
          <t>Laptop</t>
        </is>
      </c>
      <c r="C96" s="11" t="n"/>
      <c r="D96" s="11" t="n"/>
    </row>
    <row r="97" hidden="1" outlineLevel="1">
      <c r="B97" s="3" t="inlineStr">
        <is>
          <t>Company received at formation (June 1)</t>
        </is>
      </c>
      <c r="D97" s="4" t="n">
        <v>610</v>
      </c>
    </row>
    <row r="98" collapsed="1">
      <c r="B98" s="16" t="inlineStr">
        <is>
          <t>Balance, June 1, 2026</t>
        </is>
      </c>
      <c r="C98" s="17" t="n"/>
      <c r="D98" s="13">
        <f>SUM(D97:D97)</f>
        <v>610</v>
      </c>
    </row>
    <row r="99" hidden="1" outlineLevel="1">
      <c r="B99" s="3" t="inlineStr">
        <is>
          <t>Depreciation — Summer 2026 (the season's share of the cost)</t>
        </is>
      </c>
      <c r="D99" s="4" t="n">
        <v>-30</v>
      </c>
    </row>
    <row r="100" collapsed="1">
      <c r="B100" s="16" t="inlineStr">
        <is>
          <t>Balance, August 31, 2026</t>
        </is>
      </c>
      <c r="C100" s="17" t="n"/>
      <c r="D100" s="13">
        <f>D98+SUM(D99:D99)</f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D12"/>
  <sheetViews>
    <sheetView topLeftCell="A2" zoomScale="277" zoomScaleNormal="277" workbookViewId="0">
      <selection activeCell="B25" sqref="B25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Company assumed the claim at formation (June 1)</t>
        </is>
      </c>
      <c r="D3" s="4" t="n">
        <v>2030</v>
      </c>
    </row>
    <row r="4" collapsed="1">
      <c r="B4" s="16" t="inlineStr">
        <is>
          <t>Balance, June 1, 2026</t>
        </is>
      </c>
      <c r="C4" s="17" t="n"/>
      <c r="D4" s="13">
        <f>SUM(D3:D3)</f>
        <v>2030</v>
      </c>
    </row>
    <row r="5" hidden="1" outlineLevel="1">
      <c r="B5" s="3" t="inlineStr">
        <is>
          <t>Paid off in full this season</t>
        </is>
      </c>
      <c r="D5" s="4" t="n">
        <v>-2030</v>
      </c>
    </row>
    <row r="6" collapsed="1">
      <c r="B6" s="16" t="inlineStr">
        <is>
          <t>Balance, August 31, 2026</t>
        </is>
      </c>
      <c r="C6" s="17" t="n"/>
      <c r="D6" s="13">
        <f>D4+SUM(D5:D5)</f>
        <v>0</v>
      </c>
    </row>
    <row r="7">
      <c r="B7" s="3" t="n"/>
      <c r="D7" s="4" t="n"/>
    </row>
    <row r="8">
      <c r="B8" s="6" t="inlineStr">
        <is>
          <t>Customer Deposit</t>
        </is>
      </c>
      <c r="C8" s="11" t="n"/>
      <c r="D8" s="11" t="n"/>
    </row>
    <row r="9" hidden="1" outlineLevel="1">
      <c r="B9" s="3" t="inlineStr">
        <is>
          <t>Company assumed the claim at formation (June 1)</t>
        </is>
      </c>
      <c r="C9" s="17" t="n"/>
      <c r="D9" s="4" t="n">
        <v>220</v>
      </c>
    </row>
    <row r="10" collapsed="1">
      <c r="B10" s="16" t="inlineStr">
        <is>
          <t>Balance, June 1, 2026</t>
        </is>
      </c>
      <c r="C10" s="17" t="n"/>
      <c r="D10" s="13">
        <f>SUM(D9:D9)</f>
        <v>220</v>
      </c>
    </row>
    <row r="11" hidden="1" outlineLevel="1">
      <c r="B11" s="3" t="inlineStr">
        <is>
          <t>Built and delivered Smith's frame — no longer owed</t>
        </is>
      </c>
      <c r="C11" s="17" t="n"/>
      <c r="D11" s="4" t="n">
        <v>-220</v>
      </c>
    </row>
    <row r="12" collapsed="1">
      <c r="B12" s="16" t="inlineStr">
        <is>
          <t>Balance, August 31, 2026</t>
        </is>
      </c>
      <c r="C12" s="17" t="n"/>
      <c r="D12" s="13">
        <f>D10+SUM(D11:D11)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66"/>
  <sheetViews>
    <sheetView topLeftCell="A67" zoomScale="258" zoomScaleNormal="258" workbookViewId="0">
      <selection activeCell="B77" sqref="B77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additional contribution (Section 10)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34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34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</c>
    </row>
    <row r="12">
      <c r="B12" s="16" t="inlineStr">
        <is>
          <t>Balance, August 31, 2026</t>
        </is>
      </c>
      <c r="C12" s="17" t="n"/>
      <c r="D12" s="13">
        <f>D11</f>
        <v>2460</v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34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collapsed="1">
      <c r="B62" s="16" t="inlineStr">
        <is>
          <t>Balance, August 31, 2026</t>
        </is>
      </c>
      <c r="C62" s="17" t="n"/>
      <c r="D62" s="13">
        <f>D15+SUM(D16:D61)</f>
        <v>2640</v>
      </c>
    </row>
    <row r="63">
      <c r="B63" s="3" t="n"/>
      <c r="D63" s="4" t="n"/>
    </row>
    <row r="64">
      <c r="B64" s="6" t="inlineStr">
        <is>
          <t>WITHDRAWN</t>
        </is>
      </c>
      <c r="C64" s="11" t="n"/>
      <c r="D64" s="11" t="n"/>
    </row>
    <row r="65" hidden="1" outlineLevel="1">
      <c r="B65" s="3" t="inlineStr">
        <is>
          <t>Owner's draw — money taken out for personal use</t>
        </is>
      </c>
      <c r="D65" s="4" t="n">
        <v>-600</v>
      </c>
    </row>
    <row r="66" collapsed="1">
      <c r="B66" s="16" t="inlineStr">
        <is>
          <t>Balance, August 31, 2026</t>
        </is>
      </c>
      <c r="C66" s="17" t="n"/>
      <c r="D66" s="13">
        <f>SUM(D65:D65)</f>
        <v>-600</v>
      </c>
    </row>
    <row r="67" collapsed="1"/>
    <row r="70" hidden="1" outlineLevel="1"/>
    <row r="71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D21"/>
  <sheetViews>
    <sheetView zoomScale="160" zoomScaleNormal="160" workbookViewId="0">
      <selection activeCell="G18" sqref="G18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4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  <c r="D3" s="12" t="inlineStr">
        <is>
          <t>August 31, 2026</t>
        </is>
      </c>
    </row>
    <row r="4">
      <c r="B4" s="9" t="inlineStr">
        <is>
          <t>Assets</t>
        </is>
      </c>
      <c r="C4" s="14" t="n"/>
      <c r="D4" s="14" t="n"/>
    </row>
    <row r="5">
      <c r="B5" s="8" t="inlineStr">
        <is>
          <t>Cash</t>
        </is>
      </c>
      <c r="C5" s="19" t="n">
        <v>1300</v>
      </c>
      <c r="D5" s="19" t="n">
        <v>620</v>
      </c>
    </row>
    <row r="6">
      <c r="B6" s="8" t="inlineStr">
        <is>
          <t>Accounts Receivable</t>
        </is>
      </c>
      <c r="C6" s="20" t="n">
        <v>0</v>
      </c>
      <c r="D6" s="20" t="n">
        <v>300</v>
      </c>
    </row>
    <row r="7">
      <c r="B7" s="8" t="inlineStr">
        <is>
          <t>Right of Use</t>
        </is>
      </c>
      <c r="C7" s="20" t="n">
        <v>650</v>
      </c>
      <c r="D7" s="20" t="n">
        <v>650</v>
      </c>
    </row>
    <row r="8">
      <c r="B8" s="8" t="inlineStr">
        <is>
          <t>Parts</t>
        </is>
      </c>
      <c r="C8" s="20" t="n">
        <v>200</v>
      </c>
      <c r="D8" s="20" t="n">
        <v>200</v>
      </c>
    </row>
    <row r="9">
      <c r="B9" s="8" t="inlineStr">
        <is>
          <t>Tools &amp; Repair Equipment</t>
        </is>
      </c>
      <c r="C9" s="20" t="n">
        <v>1200</v>
      </c>
      <c r="D9" s="20" t="n">
        <v>1440</v>
      </c>
    </row>
    <row r="10">
      <c r="B10" s="8" t="inlineStr">
        <is>
          <t>Fixtures</t>
        </is>
      </c>
      <c r="C10" s="20" t="n">
        <v>750</v>
      </c>
      <c r="D10" s="20" t="n">
        <v>710</v>
      </c>
    </row>
    <row r="11">
      <c r="B11" s="8" t="inlineStr">
        <is>
          <t>Laptop</t>
        </is>
      </c>
      <c r="C11" s="20" t="n">
        <v>610</v>
      </c>
      <c r="D11" s="20" t="n">
        <v>580</v>
      </c>
    </row>
    <row r="12">
      <c r="B12" s="10" t="inlineStr">
        <is>
          <t>Total Assets</t>
        </is>
      </c>
      <c r="C12" s="21" t="n">
        <v>4710</v>
      </c>
      <c r="D12" s="21" t="n">
        <v>4500</v>
      </c>
    </row>
    <row r="13">
      <c r="B13" s="9" t="inlineStr">
        <is>
          <t>Liabilities</t>
        </is>
      </c>
      <c r="C13" s="14" t="n"/>
      <c r="D13" s="14" t="n"/>
    </row>
    <row r="14">
      <c r="B14" s="8" t="inlineStr">
        <is>
          <t>Credit Card</t>
        </is>
      </c>
      <c r="C14" s="19" t="n">
        <v>2030</v>
      </c>
      <c r="D14" s="19" t="n">
        <v>0</v>
      </c>
    </row>
    <row r="15">
      <c r="B15" s="8" t="inlineStr">
        <is>
          <t>Customer Deposit</t>
        </is>
      </c>
      <c r="C15" s="20" t="n">
        <v>220</v>
      </c>
      <c r="D15" s="20" t="n">
        <v>0</v>
      </c>
    </row>
    <row r="16">
      <c r="B16" s="10" t="inlineStr">
        <is>
          <t>Total Liabilities</t>
        </is>
      </c>
      <c r="C16" s="21" t="n">
        <v>2250</v>
      </c>
      <c r="D16" s="21" t="n">
        <v>0</v>
      </c>
    </row>
    <row r="17">
      <c r="B17" s="9" t="inlineStr">
        <is>
          <t>Member's Capital</t>
        </is>
      </c>
      <c r="C17" s="14" t="n"/>
      <c r="D17" s="14" t="n"/>
    </row>
    <row r="18">
      <c r="B18" s="8" t="inlineStr">
        <is>
          <t>Contributed</t>
        </is>
      </c>
      <c r="C18" s="19" t="n">
        <v>2460</v>
      </c>
      <c r="D18" s="19" t="n">
        <v>2460</v>
      </c>
    </row>
    <row r="19">
      <c r="B19" s="8" t="inlineStr">
        <is>
          <t>Generated</t>
        </is>
      </c>
      <c r="C19" s="20" t="n">
        <v>0</v>
      </c>
      <c r="D19" s="20" t="n">
        <v>2640</v>
      </c>
    </row>
    <row r="20">
      <c r="B20" s="8" t="inlineStr">
        <is>
          <t>Withdrawn</t>
        </is>
      </c>
      <c r="C20" s="20" t="n">
        <v>0</v>
      </c>
      <c r="D20" s="20" t="n">
        <v>-600</v>
      </c>
    </row>
    <row r="21">
      <c r="B21" s="10" t="inlineStr">
        <is>
          <t>Total Member's Capital</t>
        </is>
      </c>
      <c r="C21" s="21" t="n">
        <v>2460</v>
      </c>
      <c r="D21" s="21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D46"/>
  <sheetViews>
    <sheetView zoomScale="160" zoomScaleNormal="160" workbookViewId="0">
      <selection activeCell="D6" sqref="D6"/>
    </sheetView>
  </sheetViews>
  <sheetFormatPr baseColWidth="10" defaultRowHeight="15"/>
  <cols>
    <col width="3.16406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  <c r="D2" s="4" t="n"/>
    </row>
    <row r="3">
      <c r="B3" s="22" t="inlineStr">
        <is>
          <t>For the period June 1 – August 31, 2026</t>
        </is>
      </c>
      <c r="D3" s="4" t="n"/>
    </row>
    <row r="4">
      <c r="B4" s="3" t="n"/>
      <c r="D4" s="4" t="n"/>
    </row>
    <row r="5">
      <c r="B5" s="29" t="inlineStr">
        <is>
          <t>Revenue</t>
        </is>
      </c>
      <c r="C5" s="29" t="n"/>
      <c r="D5" s="29" t="n"/>
    </row>
    <row r="6">
      <c r="B6" s="23" t="inlineStr">
        <is>
          <t>Repair services</t>
        </is>
      </c>
      <c r="D6" s="30" t="n">
        <v>6020</v>
      </c>
    </row>
    <row r="7">
      <c r="B7" s="25" t="inlineStr">
        <is>
          <t>Total revenue</t>
        </is>
      </c>
      <c r="C7" s="26" t="n"/>
      <c r="D7" s="27">
        <f>D6</f>
        <v>6020</v>
      </c>
    </row>
    <row r="8"/>
    <row r="9">
      <c r="B9" s="29" t="inlineStr">
        <is>
          <t>Expenses</t>
        </is>
      </c>
      <c r="C9" s="29" t="n"/>
      <c r="D9" s="29" t="n"/>
    </row>
    <row r="10">
      <c r="B10" s="23" t="inlineStr">
        <is>
          <t>Parts used</t>
        </is>
      </c>
      <c r="D10" s="30" t="n">
        <v>1200</v>
      </c>
    </row>
    <row r="11">
      <c r="B11" s="23" t="inlineStr">
        <is>
          <t>Rent</t>
        </is>
      </c>
      <c r="D11" s="28" t="n">
        <v>1950</v>
      </c>
    </row>
    <row r="12">
      <c r="B12" s="23" t="inlineStr">
        <is>
          <t>Depreciation</t>
        </is>
      </c>
      <c r="D12" s="28" t="n">
        <v>230</v>
      </c>
    </row>
    <row r="13">
      <c r="B13" s="25" t="inlineStr">
        <is>
          <t>Total expenses</t>
        </is>
      </c>
      <c r="C13" s="26" t="n"/>
      <c r="D13" s="27">
        <f>SUM(D10:D12)</f>
        <v>3380</v>
      </c>
    </row>
    <row r="14"/>
    <row r="15">
      <c r="B15" s="25" t="inlineStr">
        <is>
          <t>Net income</t>
        </is>
      </c>
      <c r="C15" s="26" t="n"/>
      <c r="D15" s="27">
        <f>D7-D13</f>
        <v>2640</v>
      </c>
    </row>
    <row r="16">
      <c r="B16" s="3" t="n"/>
      <c r="D16" s="4" t="n"/>
    </row>
    <row r="17">
      <c r="B17" s="3" t="n"/>
      <c r="D17" s="4" t="n"/>
    </row>
    <row r="18">
      <c r="B18" s="3" t="n"/>
      <c r="D18" s="4" t="n"/>
    </row>
    <row r="19">
      <c r="B19" s="3" t="n"/>
      <c r="D19" s="4" t="n"/>
    </row>
    <row r="20">
      <c r="B20" s="3" t="n"/>
      <c r="D20" s="4" t="n"/>
    </row>
    <row r="21">
      <c r="B21" s="3" t="n"/>
      <c r="D21" s="4" t="n"/>
    </row>
    <row r="22">
      <c r="B22" s="3" t="n"/>
      <c r="D22" s="4" t="n"/>
    </row>
    <row r="23">
      <c r="B23" s="3" t="n"/>
      <c r="D23" s="4" t="n"/>
    </row>
    <row r="24">
      <c r="B24" s="3" t="n"/>
      <c r="D24" s="4" t="n"/>
    </row>
    <row r="25">
      <c r="B25" s="3" t="n"/>
      <c r="D25" s="4" t="n"/>
    </row>
    <row r="26">
      <c r="B26" s="3" t="n"/>
      <c r="D26" s="4" t="n"/>
    </row>
    <row r="27">
      <c r="B27" s="3" t="n"/>
      <c r="D27" s="4" t="n"/>
    </row>
    <row r="28">
      <c r="B28" s="3" t="n"/>
      <c r="D28" s="4" t="n"/>
    </row>
    <row r="29">
      <c r="B29" s="3" t="n"/>
      <c r="D29" s="4" t="n"/>
    </row>
    <row r="30">
      <c r="B30" s="3" t="n"/>
      <c r="D30" s="4" t="n"/>
    </row>
    <row r="31">
      <c r="B31" s="3" t="n"/>
      <c r="D31" s="4" t="n"/>
    </row>
    <row r="32">
      <c r="B32" s="3" t="n"/>
      <c r="D32" s="4" t="n"/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D21"/>
  <sheetViews>
    <sheetView zoomScale="160" zoomScaleNormal="160" workbookViewId="0">
      <selection activeCell="H27" sqref="H27"/>
    </sheetView>
  </sheetViews>
  <sheetFormatPr baseColWidth="10" defaultRowHeight="15"/>
  <cols>
    <col width="3.332031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Statement of Member's Capital</t>
        </is>
      </c>
    </row>
    <row r="3">
      <c r="B3" s="22" t="inlineStr">
        <is>
          <t>For the period June 1 – August 31, 2026</t>
        </is>
      </c>
    </row>
    <row r="4"/>
    <row r="5">
      <c r="B5" s="29" t="inlineStr">
        <is>
          <t>CONTRIBUTED</t>
        </is>
      </c>
      <c r="C5" s="29" t="n"/>
      <c r="D5" s="29" t="n"/>
    </row>
    <row r="6">
      <c r="B6" s="23" t="inlineStr">
        <is>
          <t>Balance, June 1, 2026</t>
        </is>
      </c>
      <c r="D6" s="24" t="n">
        <v>2460</v>
      </c>
    </row>
    <row r="7">
      <c r="B7" s="25" t="inlineStr">
        <is>
          <t>Balance, August 31, 2026</t>
        </is>
      </c>
      <c r="C7" s="26" t="n"/>
      <c r="D7" s="27">
        <f>D6</f>
        <v>2460</v>
      </c>
    </row>
    <row r="8">
      <c r="D8" s="19" t="n"/>
    </row>
    <row r="9">
      <c r="B9" s="29" t="inlineStr">
        <is>
          <t>GENERATED</t>
        </is>
      </c>
      <c r="C9" s="29" t="n"/>
      <c r="D9" s="29" t="n"/>
    </row>
    <row r="10">
      <c r="B10" s="23" t="inlineStr">
        <is>
          <t>Balance, June 1, 2026</t>
        </is>
      </c>
      <c r="D10" s="24" t="n">
        <v>0</v>
      </c>
    </row>
    <row r="11">
      <c r="B11" s="23" t="inlineStr">
        <is>
          <t>Net income (from the Income Statement)</t>
        </is>
      </c>
      <c r="D11" s="28" t="n">
        <v>2640</v>
      </c>
    </row>
    <row r="12">
      <c r="B12" s="25" t="inlineStr">
        <is>
          <t>Balance, August 31, 2026</t>
        </is>
      </c>
      <c r="C12" s="26" t="n"/>
      <c r="D12" s="27">
        <f>D10+D11</f>
        <v>2640</v>
      </c>
    </row>
    <row r="13">
      <c r="D13" s="19" t="n"/>
    </row>
    <row r="14">
      <c r="B14" s="29" t="inlineStr">
        <is>
          <t>WITHDRAWN</t>
        </is>
      </c>
      <c r="C14" s="29" t="n"/>
      <c r="D14" s="29" t="n"/>
    </row>
    <row r="15">
      <c r="B15" s="23" t="inlineStr">
        <is>
          <t>Balance, June 1, 2026</t>
        </is>
      </c>
      <c r="D15" s="24" t="n">
        <v>0</v>
      </c>
    </row>
    <row r="16">
      <c r="B16" s="23" t="inlineStr">
        <is>
          <t>Owner's draw</t>
        </is>
      </c>
      <c r="D16" s="28" t="n">
        <v>-600</v>
      </c>
    </row>
    <row r="17">
      <c r="B17" s="25" t="inlineStr">
        <is>
          <t>Balance, August 31, 2026</t>
        </is>
      </c>
      <c r="C17" s="26" t="n"/>
      <c r="D17" s="27">
        <f>D15+D16</f>
        <v>-600</v>
      </c>
    </row>
    <row r="18"/>
    <row r="19">
      <c r="B19" t="inlineStr">
        <is>
          <t>Total Member's Capital, June 1, 2026</t>
        </is>
      </c>
      <c r="D19" s="19" t="n">
        <v>2460</v>
      </c>
    </row>
    <row r="20">
      <c r="B20" t="inlineStr">
        <is>
          <t>Change in total Member's Capital, June 1 to August 31, 2026</t>
        </is>
      </c>
      <c r="D20" s="20" t="n">
        <v>2040</v>
      </c>
    </row>
    <row r="21" ht="16" customHeight="1" thickBot="1">
      <c r="B21" t="inlineStr">
        <is>
          <t>Total Member's Capital, August 31, 2026</t>
        </is>
      </c>
      <c r="D21" s="32" t="n">
        <v>4500</v>
      </c>
    </row>
    <row r="22" ht="16" customHeight="1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D46"/>
  <sheetViews>
    <sheetView zoomScale="190" zoomScaleNormal="190" workbookViewId="0">
      <selection activeCell="C29" sqref="C29"/>
    </sheetView>
  </sheetViews>
  <sheetFormatPr baseColWidth="10" defaultRowHeight="15"/>
  <cols>
    <col width="4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8" t="inlineStr">
        <is>
          <t>Cash Flow Statement</t>
        </is>
      </c>
      <c r="D2" s="4" t="n"/>
    </row>
    <row r="3">
      <c r="B3" s="22" t="inlineStr">
        <is>
          <t>For the period June 1 – August 31, 2026</t>
        </is>
      </c>
    </row>
    <row r="4"/>
    <row r="5">
      <c r="B5" s="29" t="inlineStr">
        <is>
          <t>Operating activities</t>
        </is>
      </c>
      <c r="C5" s="29" t="n"/>
      <c r="D5" s="29" t="n"/>
    </row>
    <row r="6">
      <c r="B6" s="23" t="inlineStr">
        <is>
          <t>Collected from repair customers</t>
        </is>
      </c>
      <c r="D6" s="30" t="n">
        <v>5500</v>
      </c>
    </row>
    <row r="7">
      <c r="B7" s="23" t="inlineStr">
        <is>
          <t>Parts purchased</t>
        </is>
      </c>
      <c r="D7" s="28" t="n">
        <v>-1200</v>
      </c>
    </row>
    <row r="8">
      <c r="B8" s="23" t="inlineStr">
        <is>
          <t>Rent paid</t>
        </is>
      </c>
      <c r="D8" s="28" t="n">
        <v>-1950</v>
      </c>
    </row>
    <row r="9">
      <c r="B9" s="25" t="inlineStr">
        <is>
          <t>Cash from operating activities</t>
        </is>
      </c>
      <c r="C9" s="26" t="n"/>
      <c r="D9" s="27">
        <f>SUM(D6:D8)</f>
        <v>2350</v>
      </c>
    </row>
    <row r="10"/>
    <row r="11">
      <c r="B11" s="29" t="inlineStr">
        <is>
          <t>Investing activities</t>
        </is>
      </c>
      <c r="C11" s="29" t="n"/>
      <c r="D11" s="29" t="n"/>
    </row>
    <row r="12">
      <c r="B12" s="23" t="inlineStr">
        <is>
          <t>Purchased wheel truing stand</t>
        </is>
      </c>
      <c r="D12" s="30" t="n">
        <v>-400</v>
      </c>
    </row>
    <row r="13">
      <c r="B13" s="25" t="inlineStr">
        <is>
          <t>Cash used in investing activities</t>
        </is>
      </c>
      <c r="C13" s="26" t="n"/>
      <c r="D13" s="27">
        <f>SUM(D12:D12)</f>
        <v>-400</v>
      </c>
    </row>
    <row r="14"/>
    <row r="15">
      <c r="B15" s="29" t="inlineStr">
        <is>
          <t>Financing activities</t>
        </is>
      </c>
      <c r="C15" s="29" t="n"/>
      <c r="D15" s="29" t="n"/>
    </row>
    <row r="16">
      <c r="B16" s="23" t="inlineStr">
        <is>
          <t>Paid off credit card</t>
        </is>
      </c>
      <c r="D16" s="30" t="n">
        <v>-2030</v>
      </c>
    </row>
    <row r="17">
      <c r="B17" s="23" t="inlineStr">
        <is>
          <t>Owner's draw</t>
        </is>
      </c>
      <c r="D17" s="28" t="n">
        <v>-600</v>
      </c>
    </row>
    <row r="18">
      <c r="B18" s="25" t="inlineStr">
        <is>
          <t>Cash used in financing activities</t>
        </is>
      </c>
      <c r="C18" s="26" t="n"/>
      <c r="D18" s="27">
        <f>SUM(D16:D17)</f>
        <v>-2630</v>
      </c>
    </row>
    <row r="19"/>
    <row r="20">
      <c r="B20" s="25" t="inlineStr">
        <is>
          <t>Net change in cash</t>
        </is>
      </c>
      <c r="C20" s="26" t="n"/>
      <c r="D20" s="27">
        <f>D9+D13+D18</f>
        <v>-680</v>
      </c>
    </row>
    <row r="21">
      <c r="B21" s="23" t="inlineStr">
        <is>
          <t>Cash, June 1, 2026</t>
        </is>
      </c>
      <c r="D21" s="31" t="n">
        <v>1300</v>
      </c>
    </row>
    <row r="22">
      <c r="B22" s="25" t="inlineStr">
        <is>
          <t>Cash, August 31, 2026</t>
        </is>
      </c>
      <c r="C22" s="26" t="n"/>
      <c r="D22" s="27">
        <f>D21+D20</f>
        <v>620</v>
      </c>
    </row>
    <row r="23">
      <c r="B23" s="7" t="n"/>
      <c r="D23" s="4" t="n"/>
    </row>
    <row r="24">
      <c r="B24" s="7" t="n"/>
      <c r="D24" s="4" t="n"/>
    </row>
    <row r="25">
      <c r="B25" s="7" t="n"/>
      <c r="D25" s="4" t="n"/>
    </row>
    <row r="26">
      <c r="B26" s="7" t="n"/>
      <c r="D26" s="4" t="n"/>
    </row>
    <row r="27">
      <c r="B27" s="7" t="n"/>
      <c r="D27" s="4" t="n"/>
    </row>
    <row r="28">
      <c r="B28" s="7" t="n"/>
      <c r="D28" s="4" t="n"/>
    </row>
    <row r="29">
      <c r="B29" s="7" t="n"/>
      <c r="D29" s="4" t="n"/>
    </row>
    <row r="30">
      <c r="B30" s="7" t="n"/>
      <c r="D30" s="4" t="n"/>
    </row>
    <row r="31">
      <c r="B31" s="3" t="n"/>
      <c r="D31" s="4" t="n"/>
    </row>
    <row r="32">
      <c r="B32" s="3" t="n"/>
      <c r="D32" s="4" t="n"/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2026-08-09T03:51:44Z</dcterms:modified>
  <cp:lastModifiedBy>Antle, Rick</cp:lastModifiedBy>
</cp:coreProperties>
</file>