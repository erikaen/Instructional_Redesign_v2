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80" yWindow="3800" windowWidth="24600" windowHeight="20940" tabRatio="600" firstSheet="0" activeTab="0" autoFilterDateGrouping="1"/>
  </bookViews>
  <sheets>
    <sheet name="0 · Data copied in" sheetId="1" state="visible" r:id="rId1"/>
    <sheet name="1 · Pick the activity" sheetId="2" state="visible" r:id="rId2"/>
    <sheet name="2 · Sort by activity" sheetId="3" state="visible" r:id="rId3"/>
    <sheet name="3 · Make the statem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color theme="1" tint="0.3499862666707358"/>
      <sz val="10"/>
    </font>
    <font>
      <name val="Calibri"/>
      <family val="2"/>
      <i val="1"/>
      <color theme="1" tint="0.2999969481490524"/>
      <sz val="11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4" tint="0.7999816888943144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4" fillId="3" borderId="0" pivotButton="0" quotePrefix="0" xfId="0"/>
    <xf numFmtId="0" fontId="3" fillId="4" borderId="2" pivotButton="0" quotePrefix="0" xfId="0"/>
    <xf numFmtId="0" fontId="0" fillId="4" borderId="2" pivotButton="0" quotePrefix="0" xfId="0"/>
    <xf numFmtId="164" fontId="4" fillId="4" borderId="2" pivotButton="0" quotePrefix="0" xfId="0"/>
    <xf numFmtId="165" fontId="3" fillId="0" borderId="0" pivotButton="0" quotePrefix="0" xfId="0"/>
    <xf numFmtId="165" fontId="4" fillId="4" borderId="2" pivotButton="0" quotePrefix="0" xfId="0"/>
    <xf numFmtId="41" fontId="3" fillId="0" borderId="0" pivotButton="0" quotePrefix="0" xfId="0"/>
    <xf numFmtId="165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topLeftCell="B1" zoomScale="160" zoomScaleNormal="160" workbookViewId="0">
      <selection activeCell="A1" sqref="A1"/>
    </sheetView>
  </sheetViews>
  <sheetFormatPr baseColWidth="10" defaultColWidth="8.83203125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Cash Flow Statement</t>
        </is>
      </c>
    </row>
    <row r="2">
      <c r="B2" s="2" t="inlineStr">
        <is>
          <t>For the period June 1 – August 31, 2026</t>
        </is>
      </c>
    </row>
    <row r="3"/>
    <row r="4">
      <c r="B4" s="3" t="inlineStr">
        <is>
          <t>Repair collected — Dana R.</t>
        </is>
      </c>
      <c r="D4" s="4" t="n">
        <v>120</v>
      </c>
    </row>
    <row r="5">
      <c r="B5" s="3" t="inlineStr">
        <is>
          <t>Repair collected — Marcus T.</t>
        </is>
      </c>
      <c r="D5" s="4" t="n">
        <v>150</v>
      </c>
    </row>
    <row r="6">
      <c r="B6" s="3" t="inlineStr">
        <is>
          <t>Repair collected — Priya S.</t>
        </is>
      </c>
      <c r="D6" s="4" t="n">
        <v>270</v>
      </c>
    </row>
    <row r="7">
      <c r="B7" s="3" t="inlineStr">
        <is>
          <t>Repair collected — Liam O.</t>
        </is>
      </c>
      <c r="D7" s="4" t="n">
        <v>300</v>
      </c>
    </row>
    <row r="8">
      <c r="B8" s="3" t="inlineStr">
        <is>
          <t>Repair collected — Sofia M.</t>
        </is>
      </c>
      <c r="D8" s="4" t="n">
        <v>150</v>
      </c>
    </row>
    <row r="9">
      <c r="B9" s="3" t="inlineStr">
        <is>
          <t>Repair collected — Jamal W.</t>
        </is>
      </c>
      <c r="D9" s="4" t="n">
        <v>360</v>
      </c>
    </row>
    <row r="10">
      <c r="B10" s="3" t="inlineStr">
        <is>
          <t>Repair collected — Erin K.</t>
        </is>
      </c>
      <c r="D10" s="4" t="n">
        <v>225</v>
      </c>
    </row>
    <row r="11">
      <c r="B11" s="3" t="inlineStr">
        <is>
          <t>Repair collected — Noah B.</t>
        </is>
      </c>
      <c r="D11" s="4" t="n">
        <v>210</v>
      </c>
    </row>
    <row r="12">
      <c r="B12" s="3" t="inlineStr">
        <is>
          <t>Repair collected — Grace L.</t>
        </is>
      </c>
      <c r="D12" s="4" t="n">
        <v>240</v>
      </c>
    </row>
    <row r="13">
      <c r="B13" s="3" t="inlineStr">
        <is>
          <t>Repair collected — Theo H.</t>
        </is>
      </c>
      <c r="D13" s="4" t="n">
        <v>240</v>
      </c>
    </row>
    <row r="14">
      <c r="B14" s="3" t="inlineStr">
        <is>
          <t>Repair collected — Maya P.</t>
        </is>
      </c>
      <c r="D14" s="4" t="n">
        <v>450</v>
      </c>
    </row>
    <row r="15">
      <c r="B15" s="3" t="inlineStr">
        <is>
          <t>Repair collected — Owen C.</t>
        </is>
      </c>
      <c r="D15" s="4" t="n">
        <v>360</v>
      </c>
    </row>
    <row r="16">
      <c r="B16" s="3" t="inlineStr">
        <is>
          <t>Repair collected — Ava D.</t>
        </is>
      </c>
      <c r="D16" s="4" t="n">
        <v>270</v>
      </c>
    </row>
    <row r="17">
      <c r="B17" s="3" t="inlineStr">
        <is>
          <t>Repair collected — Leo F.</t>
        </is>
      </c>
      <c r="D17" s="4" t="n">
        <v>240</v>
      </c>
    </row>
    <row r="18">
      <c r="B18" s="3" t="inlineStr">
        <is>
          <t>Repair collected — Nina V.</t>
        </is>
      </c>
      <c r="D18" s="4" t="n">
        <v>300</v>
      </c>
    </row>
    <row r="19">
      <c r="B19" s="3" t="inlineStr">
        <is>
          <t>Repair collected — Caleb G.</t>
        </is>
      </c>
      <c r="D19" s="4" t="n">
        <v>240</v>
      </c>
    </row>
    <row r="20">
      <c r="B20" s="3" t="inlineStr">
        <is>
          <t>Repair collected — Ruth A.</t>
        </is>
      </c>
      <c r="D20" s="4" t="n">
        <v>485</v>
      </c>
    </row>
    <row r="21">
      <c r="B21" s="3" t="inlineStr">
        <is>
          <t>Repair collected — Sam Q.</t>
        </is>
      </c>
      <c r="D21" s="4" t="n">
        <v>390</v>
      </c>
    </row>
    <row r="22">
      <c r="B22" s="3" t="inlineStr">
        <is>
          <t>Repair collected — Westville Bike Share</t>
        </is>
      </c>
      <c r="D22" s="4" t="n">
        <v>500</v>
      </c>
    </row>
    <row r="23">
      <c r="B23" s="3" t="inlineStr">
        <is>
          <t>Parts bought — June</t>
        </is>
      </c>
      <c r="D23" s="4" t="n">
        <v>-500</v>
      </c>
    </row>
    <row r="24">
      <c r="B24" s="3" t="inlineStr">
        <is>
          <t>Parts bought — July</t>
        </is>
      </c>
      <c r="D24" s="4" t="n">
        <v>-400</v>
      </c>
    </row>
    <row r="25">
      <c r="B25" s="3" t="inlineStr">
        <is>
          <t>Parts bought — August</t>
        </is>
      </c>
      <c r="D25" s="4" t="n">
        <v>-300</v>
      </c>
    </row>
    <row r="26">
      <c r="B26" s="3" t="inlineStr">
        <is>
          <t>Rent paid — June</t>
        </is>
      </c>
      <c r="D26" s="4" t="n">
        <v>-650</v>
      </c>
    </row>
    <row r="27">
      <c r="B27" s="3" t="inlineStr">
        <is>
          <t>Rent paid — July</t>
        </is>
      </c>
      <c r="D27" s="4" t="n">
        <v>-650</v>
      </c>
    </row>
    <row r="28">
      <c r="B28" s="3" t="inlineStr">
        <is>
          <t>Rent paid — August</t>
        </is>
      </c>
      <c r="D28" s="4" t="n">
        <v>-650</v>
      </c>
    </row>
    <row r="29">
      <c r="B29" s="3" t="inlineStr">
        <is>
          <t>Wheel truing stand</t>
        </is>
      </c>
      <c r="D29" s="4" t="n">
        <v>-400</v>
      </c>
    </row>
    <row r="30">
      <c r="B30" s="3" t="inlineStr">
        <is>
          <t>Credit card paid off</t>
        </is>
      </c>
      <c r="D30" s="4" t="n">
        <v>-2030</v>
      </c>
    </row>
    <row r="31">
      <c r="B31" s="3" t="inlineStr">
        <is>
          <t>Money taken out for personal use</t>
        </is>
      </c>
      <c r="D31" s="4" t="n">
        <v>-600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="140" zoomScaleNormal="140" workbookViewId="0">
      <selection activeCell="A1" sqref="A1"/>
    </sheetView>
  </sheetViews>
  <sheetFormatPr baseColWidth="10" defaultColWidth="8.83203125" defaultRowHeight="15"/>
  <cols>
    <col width="2" customWidth="1" min="1" max="1"/>
    <col width="50" customWidth="1" min="2" max="2"/>
    <col width="15" customWidth="1" min="3" max="3"/>
    <col width="14" customWidth="1" min="4" max="4"/>
    <col width="2" customWidth="1" min="5" max="5"/>
    <col width="60" customWidth="1" min="6" max="6"/>
  </cols>
  <sheetData>
    <row r="1" ht="19" customHeight="1">
      <c r="B1" s="1" t="inlineStr">
        <is>
          <t>Cash Flow Statement</t>
        </is>
      </c>
    </row>
    <row r="2">
      <c r="B2" s="2" t="inlineStr">
        <is>
          <t>For the period June 1 – August 31, 2026</t>
        </is>
      </c>
    </row>
    <row r="3">
      <c r="B3" s="5" t="inlineStr">
        <is>
          <t>Item</t>
        </is>
      </c>
      <c r="C3" s="6" t="inlineStr">
        <is>
          <t>Activity</t>
        </is>
      </c>
      <c r="D3" s="5" t="inlineStr">
        <is>
          <t>Amount</t>
        </is>
      </c>
      <c r="F3" s="7" t="inlineStr">
        <is>
          <t>Operating — running the shop day to day (repairs, parts, rent).</t>
        </is>
      </c>
    </row>
    <row r="4">
      <c r="B4" s="3" t="inlineStr">
        <is>
          <t>Repair collected — Dana R.</t>
        </is>
      </c>
      <c r="C4" s="8" t="inlineStr">
        <is>
          <t>Operating</t>
        </is>
      </c>
      <c r="D4" s="4" t="n">
        <v>120</v>
      </c>
      <c r="F4" s="7" t="inlineStr">
        <is>
          <t>Investing — buying long-lived tools &amp; equipment.</t>
        </is>
      </c>
    </row>
    <row r="5">
      <c r="B5" s="3" t="inlineStr">
        <is>
          <t>Repair collected — Marcus T.</t>
        </is>
      </c>
      <c r="C5" s="8" t="inlineStr">
        <is>
          <t>Operating</t>
        </is>
      </c>
      <c r="D5" s="4" t="n">
        <v>150</v>
      </c>
      <c r="F5" s="7" t="inlineStr">
        <is>
          <t>Financing — the owner's money and paying off borrowing.</t>
        </is>
      </c>
    </row>
    <row r="6">
      <c r="B6" s="3" t="inlineStr">
        <is>
          <t>Repair collected — Priya S.</t>
        </is>
      </c>
      <c r="C6" s="8" t="inlineStr">
        <is>
          <t>Operating</t>
        </is>
      </c>
      <c r="D6" s="4" t="n">
        <v>270</v>
      </c>
    </row>
    <row r="7">
      <c r="B7" s="3" t="inlineStr">
        <is>
          <t>Repair collected — Liam O.</t>
        </is>
      </c>
      <c r="C7" s="8" t="inlineStr">
        <is>
          <t>Operating</t>
        </is>
      </c>
      <c r="D7" s="4" t="n">
        <v>300</v>
      </c>
    </row>
    <row r="8">
      <c r="B8" s="3" t="inlineStr">
        <is>
          <t>Repair collected — Sofia M.</t>
        </is>
      </c>
      <c r="C8" s="8" t="inlineStr">
        <is>
          <t>Operating</t>
        </is>
      </c>
      <c r="D8" s="4" t="n">
        <v>150</v>
      </c>
    </row>
    <row r="9">
      <c r="B9" s="3" t="inlineStr">
        <is>
          <t>Repair collected — Jamal W.</t>
        </is>
      </c>
      <c r="C9" s="8" t="inlineStr">
        <is>
          <t>Operating</t>
        </is>
      </c>
      <c r="D9" s="4" t="n">
        <v>360</v>
      </c>
    </row>
    <row r="10">
      <c r="B10" s="3" t="inlineStr">
        <is>
          <t>Repair collected — Erin K.</t>
        </is>
      </c>
      <c r="C10" s="8" t="inlineStr">
        <is>
          <t>Operating</t>
        </is>
      </c>
      <c r="D10" s="4" t="n">
        <v>225</v>
      </c>
    </row>
    <row r="11">
      <c r="B11" s="3" t="inlineStr">
        <is>
          <t>Repair collected — Noah B.</t>
        </is>
      </c>
      <c r="C11" s="8" t="inlineStr">
        <is>
          <t>Operating</t>
        </is>
      </c>
      <c r="D11" s="4" t="n">
        <v>210</v>
      </c>
    </row>
    <row r="12">
      <c r="B12" s="3" t="inlineStr">
        <is>
          <t>Repair collected — Grace L.</t>
        </is>
      </c>
      <c r="C12" s="8" t="inlineStr">
        <is>
          <t>Operating</t>
        </is>
      </c>
      <c r="D12" s="4" t="n">
        <v>240</v>
      </c>
    </row>
    <row r="13">
      <c r="B13" s="3" t="inlineStr">
        <is>
          <t>Repair collected — Theo H.</t>
        </is>
      </c>
      <c r="C13" s="8" t="inlineStr">
        <is>
          <t>Operating</t>
        </is>
      </c>
      <c r="D13" s="4" t="n">
        <v>240</v>
      </c>
    </row>
    <row r="14">
      <c r="B14" s="3" t="inlineStr">
        <is>
          <t>Repair collected — Maya P.</t>
        </is>
      </c>
      <c r="C14" s="8" t="inlineStr">
        <is>
          <t>Operating</t>
        </is>
      </c>
      <c r="D14" s="4" t="n">
        <v>450</v>
      </c>
    </row>
    <row r="15">
      <c r="B15" s="3" t="inlineStr">
        <is>
          <t>Repair collected — Owen C.</t>
        </is>
      </c>
      <c r="C15" s="8" t="inlineStr">
        <is>
          <t>Operating</t>
        </is>
      </c>
      <c r="D15" s="4" t="n">
        <v>360</v>
      </c>
    </row>
    <row r="16">
      <c r="B16" s="3" t="inlineStr">
        <is>
          <t>Repair collected — Ava D.</t>
        </is>
      </c>
      <c r="C16" s="8" t="inlineStr">
        <is>
          <t>Operating</t>
        </is>
      </c>
      <c r="D16" s="4" t="n">
        <v>270</v>
      </c>
    </row>
    <row r="17">
      <c r="B17" s="3" t="inlineStr">
        <is>
          <t>Repair collected — Leo F.</t>
        </is>
      </c>
      <c r="C17" s="8" t="inlineStr">
        <is>
          <t>Operating</t>
        </is>
      </c>
      <c r="D17" s="4" t="n">
        <v>240</v>
      </c>
    </row>
    <row r="18">
      <c r="B18" s="3" t="inlineStr">
        <is>
          <t>Repair collected — Nina V.</t>
        </is>
      </c>
      <c r="C18" s="8" t="inlineStr">
        <is>
          <t>Operating</t>
        </is>
      </c>
      <c r="D18" s="4" t="n">
        <v>300</v>
      </c>
    </row>
    <row r="19">
      <c r="B19" s="3" t="inlineStr">
        <is>
          <t>Repair collected — Caleb G.</t>
        </is>
      </c>
      <c r="C19" s="8" t="inlineStr">
        <is>
          <t>Operating</t>
        </is>
      </c>
      <c r="D19" s="4" t="n">
        <v>240</v>
      </c>
    </row>
    <row r="20">
      <c r="B20" s="3" t="inlineStr">
        <is>
          <t>Repair collected — Ruth A.</t>
        </is>
      </c>
      <c r="C20" s="8" t="inlineStr">
        <is>
          <t>Operating</t>
        </is>
      </c>
      <c r="D20" s="4" t="n">
        <v>485</v>
      </c>
    </row>
    <row r="21">
      <c r="B21" s="3" t="inlineStr">
        <is>
          <t>Repair collected — Sam Q.</t>
        </is>
      </c>
      <c r="C21" s="8" t="inlineStr">
        <is>
          <t>Operating</t>
        </is>
      </c>
      <c r="D21" s="4" t="n">
        <v>390</v>
      </c>
    </row>
    <row r="22">
      <c r="B22" s="3" t="inlineStr">
        <is>
          <t>Repair collected — Westville Bike Share</t>
        </is>
      </c>
      <c r="C22" s="8" t="inlineStr">
        <is>
          <t>Operating</t>
        </is>
      </c>
      <c r="D22" s="4" t="n">
        <v>500</v>
      </c>
    </row>
    <row r="23">
      <c r="B23" s="3" t="inlineStr">
        <is>
          <t>Parts bought — June</t>
        </is>
      </c>
      <c r="C23" s="8" t="inlineStr">
        <is>
          <t>Operating</t>
        </is>
      </c>
      <c r="D23" s="4" t="n">
        <v>-500</v>
      </c>
    </row>
    <row r="24">
      <c r="B24" s="3" t="inlineStr">
        <is>
          <t>Parts bought — July</t>
        </is>
      </c>
      <c r="C24" s="8" t="inlineStr">
        <is>
          <t>Operating</t>
        </is>
      </c>
      <c r="D24" s="4" t="n">
        <v>-400</v>
      </c>
    </row>
    <row r="25">
      <c r="B25" s="3" t="inlineStr">
        <is>
          <t>Parts bought — August</t>
        </is>
      </c>
      <c r="C25" s="8" t="inlineStr">
        <is>
          <t>Operating</t>
        </is>
      </c>
      <c r="D25" s="4" t="n">
        <v>-300</v>
      </c>
    </row>
    <row r="26">
      <c r="B26" s="3" t="inlineStr">
        <is>
          <t>Rent paid — June</t>
        </is>
      </c>
      <c r="C26" s="8" t="inlineStr">
        <is>
          <t>Operating</t>
        </is>
      </c>
      <c r="D26" s="4" t="n">
        <v>-650</v>
      </c>
    </row>
    <row r="27">
      <c r="B27" s="3" t="inlineStr">
        <is>
          <t>Rent paid — July</t>
        </is>
      </c>
      <c r="C27" s="8" t="inlineStr">
        <is>
          <t>Operating</t>
        </is>
      </c>
      <c r="D27" s="4" t="n">
        <v>-650</v>
      </c>
    </row>
    <row r="28">
      <c r="B28" s="3" t="inlineStr">
        <is>
          <t>Rent paid — August</t>
        </is>
      </c>
      <c r="C28" s="8" t="inlineStr">
        <is>
          <t>Operating</t>
        </is>
      </c>
      <c r="D28" s="4" t="n">
        <v>-650</v>
      </c>
    </row>
    <row r="29">
      <c r="B29" s="3" t="inlineStr">
        <is>
          <t>Wheel truing stand</t>
        </is>
      </c>
      <c r="C29" s="8" t="inlineStr">
        <is>
          <t>Investing</t>
        </is>
      </c>
      <c r="D29" s="4" t="n">
        <v>-400</v>
      </c>
    </row>
    <row r="30">
      <c r="B30" s="3" t="inlineStr">
        <is>
          <t>Credit card paid off</t>
        </is>
      </c>
      <c r="C30" s="8" t="inlineStr">
        <is>
          <t>Financing</t>
        </is>
      </c>
      <c r="D30" s="4" t="n">
        <v>-2030</v>
      </c>
    </row>
    <row r="31">
      <c r="B31" s="3" t="inlineStr">
        <is>
          <t>Money taken out for personal use</t>
        </is>
      </c>
      <c r="C31" s="8" t="inlineStr">
        <is>
          <t>Financing</t>
        </is>
      </c>
      <c r="D31" s="4" t="n">
        <v>-600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topLeftCell="A3" zoomScale="214" zoomScaleNormal="214" workbookViewId="0">
      <selection activeCell="A1" sqref="A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Cash Flow Statement</t>
        </is>
      </c>
    </row>
    <row r="2">
      <c r="B2" s="2" t="inlineStr">
        <is>
          <t>For the period June 1 – August 31, 2026</t>
        </is>
      </c>
    </row>
    <row r="3"/>
    <row r="4">
      <c r="B4" s="9" t="inlineStr">
        <is>
          <t>Operating activities</t>
        </is>
      </c>
      <c r="C4" s="9" t="n"/>
      <c r="D4" s="9" t="n"/>
    </row>
    <row r="5" outlineLevel="1">
      <c r="B5" s="3" t="inlineStr">
        <is>
          <t>Repair collected — Dana R.</t>
        </is>
      </c>
      <c r="D5" s="4" t="n">
        <v>120</v>
      </c>
    </row>
    <row r="6" outlineLevel="1">
      <c r="B6" s="3" t="inlineStr">
        <is>
          <t>Repair collected — Marcus T.</t>
        </is>
      </c>
      <c r="D6" s="4" t="n">
        <v>150</v>
      </c>
    </row>
    <row r="7" outlineLevel="1">
      <c r="B7" s="3" t="inlineStr">
        <is>
          <t>Repair collected — Priya S.</t>
        </is>
      </c>
      <c r="D7" s="4" t="n">
        <v>270</v>
      </c>
    </row>
    <row r="8" outlineLevel="1">
      <c r="B8" s="3" t="inlineStr">
        <is>
          <t>Repair collected — Liam O.</t>
        </is>
      </c>
      <c r="D8" s="4" t="n">
        <v>300</v>
      </c>
    </row>
    <row r="9" outlineLevel="1">
      <c r="B9" s="3" t="inlineStr">
        <is>
          <t>Repair collected — Sofia M.</t>
        </is>
      </c>
      <c r="D9" s="4" t="n">
        <v>150</v>
      </c>
    </row>
    <row r="10" outlineLevel="1">
      <c r="B10" s="3" t="inlineStr">
        <is>
          <t>Repair collected — Jamal W.</t>
        </is>
      </c>
      <c r="D10" s="4" t="n">
        <v>360</v>
      </c>
    </row>
    <row r="11" outlineLevel="1">
      <c r="B11" s="3" t="inlineStr">
        <is>
          <t>Repair collected — Erin K.</t>
        </is>
      </c>
      <c r="D11" s="4" t="n">
        <v>225</v>
      </c>
    </row>
    <row r="12" outlineLevel="1">
      <c r="B12" s="3" t="inlineStr">
        <is>
          <t>Repair collected — Noah B.</t>
        </is>
      </c>
      <c r="D12" s="4" t="n">
        <v>210</v>
      </c>
    </row>
    <row r="13" outlineLevel="1">
      <c r="B13" s="3" t="inlineStr">
        <is>
          <t>Repair collected — Grace L.</t>
        </is>
      </c>
      <c r="D13" s="4" t="n">
        <v>240</v>
      </c>
    </row>
    <row r="14" outlineLevel="1">
      <c r="B14" s="3" t="inlineStr">
        <is>
          <t>Repair collected — Theo H.</t>
        </is>
      </c>
      <c r="D14" s="4" t="n">
        <v>240</v>
      </c>
    </row>
    <row r="15" outlineLevel="1">
      <c r="B15" s="3" t="inlineStr">
        <is>
          <t>Repair collected — Maya P.</t>
        </is>
      </c>
      <c r="D15" s="4" t="n">
        <v>450</v>
      </c>
    </row>
    <row r="16" outlineLevel="1">
      <c r="B16" s="3" t="inlineStr">
        <is>
          <t>Repair collected — Owen C.</t>
        </is>
      </c>
      <c r="D16" s="4" t="n">
        <v>360</v>
      </c>
    </row>
    <row r="17" outlineLevel="1">
      <c r="B17" s="3" t="inlineStr">
        <is>
          <t>Repair collected — Ava D.</t>
        </is>
      </c>
      <c r="D17" s="4" t="n">
        <v>270</v>
      </c>
    </row>
    <row r="18" outlineLevel="1">
      <c r="B18" s="3" t="inlineStr">
        <is>
          <t>Repair collected — Leo F.</t>
        </is>
      </c>
      <c r="D18" s="4" t="n">
        <v>240</v>
      </c>
    </row>
    <row r="19" outlineLevel="1">
      <c r="B19" s="3" t="inlineStr">
        <is>
          <t>Repair collected — Nina V.</t>
        </is>
      </c>
      <c r="D19" s="4" t="n">
        <v>300</v>
      </c>
    </row>
    <row r="20" outlineLevel="1">
      <c r="B20" s="3" t="inlineStr">
        <is>
          <t>Repair collected — Caleb G.</t>
        </is>
      </c>
      <c r="D20" s="4" t="n">
        <v>240</v>
      </c>
    </row>
    <row r="21" outlineLevel="1">
      <c r="B21" s="3" t="inlineStr">
        <is>
          <t>Repair collected — Ruth A.</t>
        </is>
      </c>
      <c r="D21" s="4" t="n">
        <v>485</v>
      </c>
    </row>
    <row r="22" outlineLevel="1">
      <c r="B22" s="3" t="inlineStr">
        <is>
          <t>Repair collected — Sam Q.</t>
        </is>
      </c>
      <c r="D22" s="4" t="n">
        <v>390</v>
      </c>
    </row>
    <row r="23" outlineLevel="1">
      <c r="B23" s="3" t="inlineStr">
        <is>
          <t>Repair collected — Westville Bike Share</t>
        </is>
      </c>
      <c r="D23" s="4" t="n">
        <v>500</v>
      </c>
    </row>
    <row r="24" outlineLevel="1">
      <c r="B24" s="3" t="inlineStr">
        <is>
          <t>Parts bought — June</t>
        </is>
      </c>
      <c r="D24" s="4" t="n">
        <v>-500</v>
      </c>
    </row>
    <row r="25" outlineLevel="1">
      <c r="B25" s="3" t="inlineStr">
        <is>
          <t>Parts bought — July</t>
        </is>
      </c>
      <c r="D25" s="4" t="n">
        <v>-400</v>
      </c>
    </row>
    <row r="26" outlineLevel="1">
      <c r="B26" s="3" t="inlineStr">
        <is>
          <t>Parts bought — August</t>
        </is>
      </c>
      <c r="D26" s="4" t="n">
        <v>-300</v>
      </c>
    </row>
    <row r="27" outlineLevel="1">
      <c r="B27" s="3" t="inlineStr">
        <is>
          <t>Rent paid — June</t>
        </is>
      </c>
      <c r="D27" s="4" t="n">
        <v>-650</v>
      </c>
    </row>
    <row r="28" outlineLevel="1">
      <c r="B28" s="3" t="inlineStr">
        <is>
          <t>Rent paid — July</t>
        </is>
      </c>
      <c r="D28" s="4" t="n">
        <v>-650</v>
      </c>
    </row>
    <row r="29" outlineLevel="1">
      <c r="B29" s="3" t="inlineStr">
        <is>
          <t>Rent paid — August</t>
        </is>
      </c>
      <c r="D29" s="4" t="n">
        <v>-650</v>
      </c>
    </row>
    <row r="30">
      <c r="B30" s="10" t="inlineStr">
        <is>
          <t>Cash from operating activities</t>
        </is>
      </c>
      <c r="C30" s="11" t="n"/>
      <c r="D30" s="12">
        <f>SUM(D5:D29)</f>
        <v>2350</v>
      </c>
    </row>
    <row r="31"/>
    <row r="32">
      <c r="B32" s="9" t="inlineStr">
        <is>
          <t>Investing activities</t>
        </is>
      </c>
      <c r="C32" s="9" t="n"/>
      <c r="D32" s="9" t="n"/>
    </row>
    <row r="33" outlineLevel="1">
      <c r="B33" s="3" t="inlineStr">
        <is>
          <t>Wheel truing stand</t>
        </is>
      </c>
      <c r="D33" s="4" t="n">
        <v>-400</v>
      </c>
    </row>
    <row r="34">
      <c r="B34" s="10" t="inlineStr">
        <is>
          <t>Cash used in investing activities</t>
        </is>
      </c>
      <c r="C34" s="11" t="n"/>
      <c r="D34" s="12">
        <f>SUM(D33:D33)</f>
        <v>-400</v>
      </c>
    </row>
    <row r="35"/>
    <row r="36">
      <c r="B36" s="9" t="inlineStr">
        <is>
          <t>Financing activities</t>
        </is>
      </c>
      <c r="C36" s="9" t="n"/>
      <c r="D36" s="9" t="n"/>
    </row>
    <row r="37" outlineLevel="1">
      <c r="B37" s="3" t="inlineStr">
        <is>
          <t>Credit card paid off</t>
        </is>
      </c>
      <c r="D37" s="4" t="n">
        <v>-2030</v>
      </c>
    </row>
    <row r="38" outlineLevel="1">
      <c r="B38" s="3" t="inlineStr">
        <is>
          <t>Money taken out for personal use</t>
        </is>
      </c>
      <c r="D38" s="4" t="n">
        <v>-600</v>
      </c>
    </row>
    <row r="39">
      <c r="B39" s="10" t="inlineStr">
        <is>
          <t>Cash used in financing activities</t>
        </is>
      </c>
      <c r="C39" s="11" t="n"/>
      <c r="D39" s="12">
        <f>SUM(D37:D38)</f>
        <v>-2630</v>
      </c>
    </row>
    <row r="40"/>
    <row r="41">
      <c r="B41" s="10" t="inlineStr">
        <is>
          <t>Net change in cash</t>
        </is>
      </c>
      <c r="C41" s="11" t="n"/>
      <c r="D41" s="12">
        <f>D30+D34+D39</f>
        <v>-680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="238" zoomScaleNormal="238" workbookViewId="0">
      <selection activeCell="A1" sqref="A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Cash Flow Statement</t>
        </is>
      </c>
    </row>
    <row r="2">
      <c r="B2" s="2" t="inlineStr">
        <is>
          <t>For the period June 1 – August 31, 2026</t>
        </is>
      </c>
    </row>
    <row r="3"/>
    <row r="4">
      <c r="B4" s="9" t="inlineStr">
        <is>
          <t>Operating activities</t>
        </is>
      </c>
      <c r="C4" s="9" t="n"/>
      <c r="D4" s="9" t="n"/>
    </row>
    <row r="5" outlineLevel="1">
      <c r="B5" s="3" t="inlineStr">
        <is>
          <t>Collected from repair customers</t>
        </is>
      </c>
      <c r="D5" s="13" t="n">
        <v>5500</v>
      </c>
    </row>
    <row r="6" outlineLevel="1">
      <c r="B6" s="3" t="inlineStr">
        <is>
          <t>Parts purchased</t>
        </is>
      </c>
      <c r="D6" s="15" t="n">
        <v>-1200</v>
      </c>
    </row>
    <row r="7" outlineLevel="1">
      <c r="B7" s="3" t="inlineStr">
        <is>
          <t>Rent paid</t>
        </is>
      </c>
      <c r="D7" s="15" t="n">
        <v>-1950</v>
      </c>
    </row>
    <row r="8">
      <c r="B8" s="10" t="inlineStr">
        <is>
          <t>Cash from operating activities</t>
        </is>
      </c>
      <c r="C8" s="11" t="n"/>
      <c r="D8" s="14">
        <f>SUM(D5:D7)</f>
        <v>2350</v>
      </c>
    </row>
    <row r="9"/>
    <row r="10">
      <c r="B10" s="9" t="inlineStr">
        <is>
          <t>Investing activities</t>
        </is>
      </c>
      <c r="C10" s="9" t="n"/>
      <c r="D10" s="9" t="n"/>
    </row>
    <row r="11" outlineLevel="1">
      <c r="B11" s="3" t="inlineStr">
        <is>
          <t>Purchased wheel truing stand</t>
        </is>
      </c>
      <c r="D11" s="13" t="n">
        <v>-400</v>
      </c>
    </row>
    <row r="12">
      <c r="B12" s="10" t="inlineStr">
        <is>
          <t>Cash used in investing activities</t>
        </is>
      </c>
      <c r="C12" s="11" t="n"/>
      <c r="D12" s="14">
        <f>SUM(D11:D11)</f>
        <v>-400</v>
      </c>
    </row>
    <row r="13"/>
    <row r="14">
      <c r="B14" s="9" t="inlineStr">
        <is>
          <t>Financing activities</t>
        </is>
      </c>
      <c r="C14" s="9" t="n"/>
      <c r="D14" s="9" t="n"/>
    </row>
    <row r="15" outlineLevel="1">
      <c r="B15" s="3" t="inlineStr">
        <is>
          <t>Paid off credit card</t>
        </is>
      </c>
      <c r="D15" s="13" t="n">
        <v>-2030</v>
      </c>
    </row>
    <row r="16" outlineLevel="1">
      <c r="B16" s="3" t="inlineStr">
        <is>
          <t>Owner's draw</t>
        </is>
      </c>
      <c r="D16" s="15" t="n">
        <v>-600</v>
      </c>
    </row>
    <row r="17">
      <c r="B17" s="10" t="inlineStr">
        <is>
          <t>Cash used in financing activities</t>
        </is>
      </c>
      <c r="C17" s="11" t="n"/>
      <c r="D17" s="14">
        <f>SUM(D15:D16)</f>
        <v>-2630</v>
      </c>
    </row>
    <row r="18"/>
    <row r="19" outlineLevel="1">
      <c r="B19" s="10" t="inlineStr">
        <is>
          <t>Net change in cash</t>
        </is>
      </c>
      <c r="C19" s="11" t="n"/>
      <c r="D19" s="14">
        <f>D8+D12+D17</f>
        <v>-680</v>
      </c>
    </row>
    <row r="20" outlineLevel="1">
      <c r="B20" s="3" t="inlineStr">
        <is>
          <t>Cash, June 1, 2026</t>
        </is>
      </c>
      <c r="D20" s="16" t="n">
        <v>1300</v>
      </c>
    </row>
    <row r="21">
      <c r="B21" s="10" t="inlineStr">
        <is>
          <t>Cash, August 31, 2026</t>
        </is>
      </c>
      <c r="C21" s="11" t="n"/>
      <c r="D21" s="14">
        <f>D20+D19</f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2026-07-13T19:21:26Z</dcterms:created>
  <dcterms:modified xsi:type="dcterms:W3CDTF">2026-08-09T03:51:45Z</dcterms:modified>
  <cp:lastModifiedBy>Antle, Rick</cp:lastModifiedBy>
</cp:coreProperties>
</file>