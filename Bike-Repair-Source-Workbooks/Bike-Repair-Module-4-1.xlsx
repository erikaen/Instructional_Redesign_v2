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420" yWindow="258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Working Tab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 hidden="1" outlineLevel="1">
      <c r="B35" s="6" t="inlineStr">
        <is>
          <t>Accounts Receivable</t>
        </is>
      </c>
      <c r="C35" s="11" t="n"/>
      <c r="D35" s="11" t="n"/>
    </row>
    <row r="36" hidden="1" outlineLevel="1">
      <c r="B36" s="3" t="inlineStr">
        <is>
          <t>Ridgeline Trail Crew — finished Aug 28, net 15 (unpaid)</t>
        </is>
      </c>
      <c r="D36" s="4" t="n">
        <v>300</v>
      </c>
    </row>
    <row r="37" collapsed="1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zoomScale="258" zoomScaleNormal="258" workbookViewId="0">
      <selection activeCell="B2" sqref="B2:D7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0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0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0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70" outlineLevel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F35" sqref="F35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7" t="inlineStr">
        <is>
          <t>Revenue</t>
        </is>
      </c>
      <c r="C5" s="27" t="n"/>
      <c r="D5" s="27" t="n"/>
    </row>
    <row r="6">
      <c r="B6" s="22" t="inlineStr">
        <is>
          <t>Repair services</t>
        </is>
      </c>
      <c r="D6" s="28" t="n">
        <v>6020</v>
      </c>
    </row>
    <row r="7">
      <c r="B7" s="23" t="inlineStr">
        <is>
          <t>Total revenue</t>
        </is>
      </c>
      <c r="C7" s="24" t="n"/>
      <c r="D7" s="25">
        <f>D6</f>
        <v>6020</v>
        <v/>
      </c>
    </row>
    <row r="9">
      <c r="B9" s="27" t="inlineStr">
        <is>
          <t>Expenses</t>
        </is>
      </c>
      <c r="C9" s="27" t="n"/>
      <c r="D9" s="27" t="n"/>
    </row>
    <row r="10">
      <c r="B10" s="22" t="inlineStr">
        <is>
          <t>Parts used</t>
        </is>
      </c>
      <c r="D10" s="28" t="n">
        <v>1200</v>
      </c>
    </row>
    <row r="11">
      <c r="B11" s="22" t="inlineStr">
        <is>
          <t>Rent</t>
        </is>
      </c>
      <c r="D11" s="26" t="n">
        <v>1950</v>
      </c>
    </row>
    <row r="12">
      <c r="B12" s="22" t="inlineStr">
        <is>
          <t>Depreciation</t>
        </is>
      </c>
      <c r="D12" s="26" t="n">
        <v>230</v>
      </c>
    </row>
    <row r="13">
      <c r="B13" s="23" t="inlineStr">
        <is>
          <t>Total expenses</t>
        </is>
      </c>
      <c r="C13" s="24" t="n"/>
      <c r="D13" s="25">
        <f>SUM(D10:D12)</f>
        <v>3380</v>
        <v/>
      </c>
    </row>
    <row r="15">
      <c r="B15" s="23" t="inlineStr">
        <is>
          <t>Net income</t>
        </is>
      </c>
      <c r="C15" s="24" t="n"/>
      <c r="D15" s="25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1:D70"/>
  <sheetViews>
    <sheetView tabSelected="1" zoomScale="160" zoomScaleNormal="160" workbookViewId="0">
      <selection activeCell="F42" sqref="F42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6">
      <c r="B6" t="inlineStr">
        <is>
          <t>CONTRIBUTED</t>
        </is>
      </c>
    </row>
    <row r="7" hidden="1" outlineLevel="1">
      <c r="B7" t="inlineStr">
        <is>
          <t>Cash — Company received at formation (June 1)</t>
        </is>
      </c>
      <c r="D7" t="n">
        <v>1300</v>
      </c>
    </row>
    <row r="8" hidden="1" outlineLevel="1">
      <c r="B8" t="inlineStr">
        <is>
          <t>Right of Use — Company received at formation (June 1)</t>
        </is>
      </c>
      <c r="D8" t="n">
        <v>650</v>
      </c>
    </row>
    <row r="9" hidden="1" outlineLevel="1">
      <c r="B9" t="inlineStr">
        <is>
          <t>Parts — Company received at formation (June 1)</t>
        </is>
      </c>
      <c r="D9" t="n">
        <v>200</v>
      </c>
    </row>
    <row r="10" hidden="1" outlineLevel="1">
      <c r="B10" t="inlineStr">
        <is>
          <t>Tools &amp; Repair Equipment — Company received at formation (June 1)</t>
        </is>
      </c>
      <c r="D10" t="n">
        <v>1200</v>
      </c>
    </row>
    <row r="11" hidden="1" outlineLevel="1">
      <c r="B11" t="inlineStr">
        <is>
          <t>Fixtures — Company received at formation (June 1)</t>
        </is>
      </c>
      <c r="D11" t="n">
        <v>750</v>
      </c>
    </row>
    <row r="12" hidden="1" outlineLevel="1">
      <c r="B12" t="inlineStr">
        <is>
          <t>Laptop — Company received at formation (June 1)</t>
        </is>
      </c>
      <c r="D12" t="n">
        <v>610</v>
      </c>
    </row>
    <row r="13" hidden="1" outlineLevel="1">
      <c r="B13" t="inlineStr">
        <is>
          <t>Credit Card — Company assumed the claim at formation (June 1)</t>
        </is>
      </c>
      <c r="D13" t="n">
        <v>-2030</v>
      </c>
    </row>
    <row r="14" hidden="1" outlineLevel="1">
      <c r="B14" t="inlineStr">
        <is>
          <t>Customer Deposit — Company assumed the claim at formation (June 1)</t>
        </is>
      </c>
      <c r="D14" t="n">
        <v>-220</v>
      </c>
    </row>
    <row r="15" collapsed="1">
      <c r="B15" t="inlineStr">
        <is>
          <t>Balance, June 1, 2026</t>
        </is>
      </c>
      <c r="D15">
        <f>SUM(D7:D14)</f>
        <v>2460</v>
        <v/>
      </c>
    </row>
    <row r="16">
      <c r="B16" t="inlineStr">
        <is>
          <t>Balance, August 31, 2026</t>
        </is>
      </c>
      <c r="D16">
        <f>D15</f>
        <v>2460</v>
        <v/>
      </c>
    </row>
    <row r="18">
      <c r="B18" t="inlineStr">
        <is>
          <t>GENERATED</t>
        </is>
      </c>
    </row>
    <row r="19">
      <c r="B19" t="inlineStr">
        <is>
          <t>Balance, June 1, 2026</t>
        </is>
      </c>
      <c r="D19" t="n">
        <v>0</v>
      </c>
    </row>
    <row r="20" hidden="1" outlineLevel="1">
      <c r="B20" t="inlineStr">
        <is>
          <t>Repair collected — Dana R.</t>
        </is>
      </c>
      <c r="D20" t="n">
        <v>120</v>
      </c>
    </row>
    <row r="21" hidden="1" outlineLevel="1" ht="16" customHeight="1">
      <c r="B21" t="inlineStr">
        <is>
          <t>Parts used — Dana R.</t>
        </is>
      </c>
      <c r="D21" t="n">
        <v>-10</v>
      </c>
    </row>
    <row r="22" hidden="1" outlineLevel="1" ht="16" customHeight="1">
      <c r="B22" t="inlineStr">
        <is>
          <t>Repair collected — Marcus T.</t>
        </is>
      </c>
      <c r="D22" t="n">
        <v>150</v>
      </c>
    </row>
    <row r="23" hidden="1" outlineLevel="1">
      <c r="B23" t="inlineStr">
        <is>
          <t>Repair collected — Priya S.</t>
        </is>
      </c>
      <c r="D23" t="n">
        <v>270</v>
      </c>
    </row>
    <row r="24" hidden="1" outlineLevel="1">
      <c r="B24" t="inlineStr">
        <is>
          <t>Parts used — Priya S.</t>
        </is>
      </c>
      <c r="D24" t="n">
        <v>-25</v>
      </c>
    </row>
    <row r="25" hidden="1" outlineLevel="1">
      <c r="B25" t="inlineStr">
        <is>
          <t>Repair collected — Liam O.</t>
        </is>
      </c>
      <c r="D25" t="n">
        <v>300</v>
      </c>
    </row>
    <row r="26" hidden="1" outlineLevel="1">
      <c r="B26" t="inlineStr">
        <is>
          <t>Parts used — Liam O.</t>
        </is>
      </c>
      <c r="D26" t="n">
        <v>-95</v>
      </c>
    </row>
    <row r="27" hidden="1" outlineLevel="1">
      <c r="B27" t="inlineStr">
        <is>
          <t>Repair collected — Sofia M.</t>
        </is>
      </c>
      <c r="D27" t="n">
        <v>150</v>
      </c>
    </row>
    <row r="28" hidden="1" outlineLevel="1">
      <c r="B28" t="inlineStr">
        <is>
          <t>Repair collected — Jamal W.</t>
        </is>
      </c>
      <c r="D28" t="n">
        <v>360</v>
      </c>
    </row>
    <row r="29" hidden="1" outlineLevel="1">
      <c r="B29" t="inlineStr">
        <is>
          <t>Parts used — Jamal W.</t>
        </is>
      </c>
      <c r="D29" t="n">
        <v>-60</v>
      </c>
    </row>
    <row r="30" hidden="1" outlineLevel="1">
      <c r="B30" t="inlineStr">
        <is>
          <t>Repair collected — Erin K.</t>
        </is>
      </c>
      <c r="D30" t="n">
        <v>225</v>
      </c>
    </row>
    <row r="31" hidden="1" outlineLevel="1">
      <c r="B31" t="inlineStr">
        <is>
          <t>Parts used — Erin K.</t>
        </is>
      </c>
      <c r="D31" t="n">
        <v>-40</v>
      </c>
    </row>
    <row r="32" hidden="1" outlineLevel="1">
      <c r="B32" t="inlineStr">
        <is>
          <t>Repair collected — Noah B.</t>
        </is>
      </c>
      <c r="D32" t="n">
        <v>210</v>
      </c>
    </row>
    <row r="33" hidden="1" outlineLevel="1">
      <c r="B33" t="inlineStr">
        <is>
          <t>Parts used — Noah B.</t>
        </is>
      </c>
      <c r="D33" t="n">
        <v>-65</v>
      </c>
    </row>
    <row r="34" hidden="1" outlineLevel="1">
      <c r="B34" t="inlineStr">
        <is>
          <t>Rent used — June</t>
        </is>
      </c>
      <c r="D34" t="n">
        <v>-650</v>
      </c>
    </row>
    <row r="35" hidden="1" outlineLevel="1">
      <c r="B35" t="inlineStr">
        <is>
          <t>Rent used — July</t>
        </is>
      </c>
      <c r="D35" t="n">
        <v>-650</v>
      </c>
    </row>
    <row r="36" hidden="1" outlineLevel="1">
      <c r="B36" t="inlineStr">
        <is>
          <t>Repair collected — Grace L.</t>
        </is>
      </c>
      <c r="D36" t="n">
        <v>240</v>
      </c>
    </row>
    <row r="37" hidden="1" outlineLevel="1">
      <c r="B37" t="inlineStr">
        <is>
          <t>Parts used — Grace L.</t>
        </is>
      </c>
      <c r="D37" t="n">
        <v>-35</v>
      </c>
    </row>
    <row r="38" hidden="1" outlineLevel="1">
      <c r="B38" t="inlineStr">
        <is>
          <t>Repair collected — Theo H.</t>
        </is>
      </c>
      <c r="D38" t="n">
        <v>240</v>
      </c>
    </row>
    <row r="39" hidden="1" outlineLevel="1">
      <c r="B39" t="inlineStr">
        <is>
          <t>Parts used — Theo H.</t>
        </is>
      </c>
      <c r="D39" t="n">
        <v>-25</v>
      </c>
    </row>
    <row r="40" hidden="1" outlineLevel="1">
      <c r="B40" t="inlineStr">
        <is>
          <t>Repair collected — Maya P.</t>
        </is>
      </c>
      <c r="D40" t="n">
        <v>450</v>
      </c>
    </row>
    <row r="41" hidden="1" outlineLevel="1">
      <c r="B41" t="inlineStr">
        <is>
          <t>Parts used — Maya P.</t>
        </is>
      </c>
      <c r="D41" t="n">
        <v>-125</v>
      </c>
    </row>
    <row r="42" hidden="1" outlineLevel="1">
      <c r="B42" t="inlineStr">
        <is>
          <t>Repair collected — Owen C.</t>
        </is>
      </c>
      <c r="D42" t="n">
        <v>360</v>
      </c>
    </row>
    <row r="43" hidden="1" outlineLevel="1">
      <c r="B43" t="inlineStr">
        <is>
          <t>Parts used — Owen C.</t>
        </is>
      </c>
      <c r="D43" t="n">
        <v>-55</v>
      </c>
    </row>
    <row r="44" hidden="1" outlineLevel="1">
      <c r="B44" t="inlineStr">
        <is>
          <t>Repair collected — Ava D.</t>
        </is>
      </c>
      <c r="D44" t="n">
        <v>270</v>
      </c>
    </row>
    <row r="45" hidden="1" outlineLevel="1">
      <c r="B45" t="inlineStr">
        <is>
          <t>Parts used — Ava D.</t>
        </is>
      </c>
      <c r="D45" t="n">
        <v>-45</v>
      </c>
    </row>
    <row r="46" hidden="1" outlineLevel="1">
      <c r="B46" t="inlineStr">
        <is>
          <t>Repair collected — Leo F.</t>
        </is>
      </c>
      <c r="D46" t="n">
        <v>240</v>
      </c>
    </row>
    <row r="47" hidden="1" outlineLevel="1">
      <c r="B47" t="inlineStr">
        <is>
          <t>Parts used — Leo F.</t>
        </is>
      </c>
      <c r="D47" t="n">
        <v>-100</v>
      </c>
    </row>
    <row r="48" hidden="1" outlineLevel="1">
      <c r="B48" t="inlineStr">
        <is>
          <t>Repair collected — Nina V.</t>
        </is>
      </c>
      <c r="D48" t="n">
        <v>300</v>
      </c>
    </row>
    <row r="49" hidden="1" outlineLevel="1">
      <c r="B49" t="inlineStr">
        <is>
          <t>Parts used — Nina V.</t>
        </is>
      </c>
      <c r="D49" t="n">
        <v>-80</v>
      </c>
    </row>
    <row r="50" hidden="1" outlineLevel="1">
      <c r="B50" t="inlineStr">
        <is>
          <t>Rent used — August</t>
        </is>
      </c>
      <c r="D50" t="n">
        <v>-650</v>
      </c>
    </row>
    <row r="51" hidden="1" outlineLevel="1">
      <c r="B51" t="inlineStr">
        <is>
          <t>Repair collected — Caleb G.</t>
        </is>
      </c>
      <c r="D51" t="n">
        <v>240</v>
      </c>
    </row>
    <row r="52" hidden="1" outlineLevel="1">
      <c r="B52" t="inlineStr">
        <is>
          <t>Parts used — Caleb G.</t>
        </is>
      </c>
      <c r="D52" t="n">
        <v>-25</v>
      </c>
    </row>
    <row r="53" hidden="1" outlineLevel="1">
      <c r="B53" t="inlineStr">
        <is>
          <t>Repair collected — Ruth A.</t>
        </is>
      </c>
      <c r="D53" t="n">
        <v>485</v>
      </c>
    </row>
    <row r="54" hidden="1" outlineLevel="1">
      <c r="B54" t="inlineStr">
        <is>
          <t>Parts used — Ruth A.</t>
        </is>
      </c>
      <c r="D54" t="n">
        <v>-129</v>
      </c>
    </row>
    <row r="55" hidden="1" outlineLevel="1">
      <c r="B55" t="inlineStr">
        <is>
          <t>Repair collected — Sam Q.</t>
        </is>
      </c>
      <c r="D55" t="n">
        <v>390</v>
      </c>
    </row>
    <row r="56" hidden="1" outlineLevel="1">
      <c r="B56" t="inlineStr">
        <is>
          <t>Parts used — Sam Q.</t>
        </is>
      </c>
      <c r="D56" t="n">
        <v>-70</v>
      </c>
    </row>
    <row r="57" hidden="1" outlineLevel="1">
      <c r="B57" t="inlineStr">
        <is>
          <t>Repair collected — Westville Bike Share</t>
        </is>
      </c>
      <c r="D57" t="n">
        <v>500</v>
      </c>
    </row>
    <row r="58" hidden="1" outlineLevel="1">
      <c r="B58" t="inlineStr">
        <is>
          <t>Parts used — Westville Bike Share</t>
        </is>
      </c>
      <c r="D58" t="n">
        <v>-105</v>
      </c>
    </row>
    <row r="59" hidden="1" outlineLevel="1">
      <c r="B59" t="inlineStr">
        <is>
          <t>Repair delivered — Ridgeline Trail Crew, billed net 15 (unpaid)</t>
        </is>
      </c>
      <c r="D59" t="n">
        <v>300</v>
      </c>
    </row>
    <row r="60" hidden="1" outlineLevel="1">
      <c r="B60" t="inlineStr">
        <is>
          <t>Parts used — Ridgeline Trail Crew</t>
        </is>
      </c>
      <c r="D60" t="n">
        <v>-75</v>
      </c>
    </row>
    <row r="61" hidden="1" outlineLevel="1">
      <c r="B61" t="inlineStr">
        <is>
          <t>Frame delivered — J. Smith (deposit earned)</t>
        </is>
      </c>
      <c r="D61" t="n">
        <v>220</v>
      </c>
    </row>
    <row r="62" hidden="1" outlineLevel="1">
      <c r="B62" t="inlineStr">
        <is>
          <t>Parts used — J. Smith</t>
        </is>
      </c>
      <c r="D62" t="n">
        <v>-36</v>
      </c>
    </row>
    <row r="63" hidden="1" outlineLevel="1">
      <c r="B63" t="inlineStr">
        <is>
          <t>Depreciation — tools &amp; repair equipment, Summer 2026</t>
        </is>
      </c>
      <c r="D63" t="n">
        <v>-160</v>
      </c>
    </row>
    <row r="64" hidden="1" outlineLevel="1">
      <c r="B64" t="inlineStr">
        <is>
          <t>Depreciation — fixtures, Summer 2026</t>
        </is>
      </c>
      <c r="D64" t="n">
        <v>-40</v>
      </c>
    </row>
    <row r="65" hidden="1" outlineLevel="1">
      <c r="B65" t="inlineStr">
        <is>
          <t>Depreciation — laptop, Summer 2026</t>
        </is>
      </c>
      <c r="D65" t="n">
        <v>-30</v>
      </c>
    </row>
    <row r="66" collapsed="1">
      <c r="B66" t="inlineStr">
        <is>
          <t>Balance, August 31, 2026</t>
        </is>
      </c>
      <c r="D66">
        <f>D19+SUM(D20:D65)</f>
        <v>2640</v>
        <v/>
      </c>
    </row>
    <row r="68">
      <c r="B68" t="inlineStr">
        <is>
          <t>WITHDRAWN</t>
        </is>
      </c>
    </row>
    <row r="69" hidden="1" outlineLevel="1">
      <c r="B69" t="inlineStr">
        <is>
          <t>Owner's draw — money taken out for personal use</t>
        </is>
      </c>
      <c r="D69" t="n">
        <v>-600</v>
      </c>
    </row>
    <row r="70" collapsed="1">
      <c r="B70" t="inlineStr">
        <is>
          <t>Balance, August 31, 2026</t>
        </is>
      </c>
      <c r="D70">
        <f>SUM(D69:D69)</f>
        <v>-600</v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2026-07-24T21:59:52Z</dcterms:modified>
  <cp:lastModifiedBy>Antle, Rick</cp:lastModifiedBy>
</cp:coreProperties>
</file>