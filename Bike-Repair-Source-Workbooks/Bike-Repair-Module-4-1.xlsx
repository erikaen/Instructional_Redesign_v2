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420" yWindow="2580" windowWidth="26120" windowHeight="27720" tabRatio="600" firstSheet="0" activeTab="5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Working Tab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5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  <xf numFmtId="0" fontId="3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32"/>
  <sheetViews>
    <sheetView zoomScale="214" zoomScaleNormal="214" workbookViewId="0">
      <selection activeCell="A1" sqref="A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Rent paid in advance (the lease)</t>
        </is>
      </c>
      <c r="D3" s="4" t="n">
        <v>-1300</v>
      </c>
    </row>
    <row r="4" hidden="1" outlineLevel="1">
      <c r="B4" s="3" t="inlineStr">
        <is>
          <t>Park Tool repair stand</t>
        </is>
      </c>
      <c r="D4" s="4" t="n">
        <v>-200</v>
      </c>
    </row>
    <row r="5" hidden="1" outlineLevel="1">
      <c r="B5" s="3" t="inlineStr">
        <is>
          <t>Repair, customer paid</t>
        </is>
      </c>
      <c r="D5" s="4" t="n">
        <v>340</v>
      </c>
    </row>
    <row r="6" hidden="1" outlineLevel="1">
      <c r="B6" s="3" t="inlineStr">
        <is>
          <t>Repair, customer paid</t>
        </is>
      </c>
      <c r="D6" s="4" t="n">
        <v>180</v>
      </c>
    </row>
    <row r="7" hidden="1" outlineLevel="1">
      <c r="B7" s="3" t="inlineStr">
        <is>
          <t>Repair, customer paid</t>
        </is>
      </c>
      <c r="D7" s="4" t="n">
        <v>80</v>
      </c>
    </row>
    <row r="8" hidden="1" outlineLevel="1">
      <c r="B8" s="3" t="inlineStr">
        <is>
          <t>Repair, customer paid</t>
        </is>
      </c>
      <c r="D8" s="4" t="n">
        <v>140</v>
      </c>
    </row>
    <row r="9" hidden="1" outlineLevel="1">
      <c r="B9" s="3" t="inlineStr">
        <is>
          <t>Repair, customer paid</t>
        </is>
      </c>
      <c r="D9" s="4" t="n">
        <v>130</v>
      </c>
    </row>
    <row r="10" hidden="1" outlineLevel="1">
      <c r="B10" s="3" t="inlineStr">
        <is>
          <t>Smith's deposit received</t>
        </is>
      </c>
      <c r="D10" s="4" t="n">
        <v>220</v>
      </c>
    </row>
    <row r="11" hidden="1" outlineLevel="1">
      <c r="B11" s="3" t="inlineStr">
        <is>
          <t>Repair, customer paid</t>
        </is>
      </c>
      <c r="D11" s="4" t="n">
        <v>100</v>
      </c>
    </row>
    <row r="12" hidden="1" outlineLevel="1">
      <c r="B12" s="3" t="inlineStr">
        <is>
          <t>Repair, customer paid</t>
        </is>
      </c>
      <c r="D12" s="4" t="n">
        <v>150</v>
      </c>
    </row>
    <row r="13" hidden="1" outlineLevel="1">
      <c r="B13" s="3" t="inlineStr">
        <is>
          <t>Covered from your personal funds</t>
        </is>
      </c>
      <c r="D13" s="4" t="n">
        <v>160</v>
      </c>
    </row>
    <row r="14" hidden="1" outlineLevel="1">
      <c r="B14" s="3" t="inlineStr">
        <is>
          <t>Deposited to open the LLC bank account</t>
        </is>
      </c>
      <c r="D14" s="15" t="n">
        <v>1300</v>
      </c>
    </row>
    <row r="15" collapsed="1">
      <c r="B15" s="16" t="inlineStr">
        <is>
          <t>Balance, June 1, 2026</t>
        </is>
      </c>
      <c r="C15" s="17" t="n"/>
      <c r="D15" s="13">
        <f>SUM(D3:D14)</f>
        <v>1300</v>
        <v/>
      </c>
    </row>
    <row r="16" hidden="1" outlineLevel="1">
      <c r="B16" s="7" t="inlineStr">
        <is>
          <t>Repair collected — Dana R.</t>
        </is>
      </c>
      <c r="D16" s="4" t="n">
        <v>120</v>
      </c>
    </row>
    <row r="17" hidden="1" outlineLevel="1">
      <c r="B17" s="7" t="inlineStr">
        <is>
          <t>Repair collected — Marcus T.</t>
        </is>
      </c>
      <c r="D17" s="4" t="n">
        <v>150</v>
      </c>
    </row>
    <row r="18" hidden="1" outlineLevel="1">
      <c r="B18" s="7" t="inlineStr">
        <is>
          <t>Repair collected — Priya S.</t>
        </is>
      </c>
      <c r="D18" s="4" t="n">
        <v>270</v>
      </c>
    </row>
    <row r="19" hidden="1" outlineLevel="1">
      <c r="B19" s="7" t="inlineStr">
        <is>
          <t>Repair collected — Liam O.</t>
        </is>
      </c>
      <c r="D19" s="4" t="n">
        <v>300</v>
      </c>
    </row>
    <row r="20" hidden="1" outlineLevel="1">
      <c r="B20" s="7" t="inlineStr">
        <is>
          <t>Repair collected — Sofia M.</t>
        </is>
      </c>
      <c r="D20" s="4" t="n">
        <v>150</v>
      </c>
    </row>
    <row r="21" hidden="1" outlineLevel="1">
      <c r="B21" s="7" t="inlineStr">
        <is>
          <t>Repair collected — Jamal W.</t>
        </is>
      </c>
      <c r="D21" s="4" t="n">
        <v>360</v>
      </c>
    </row>
    <row r="22" hidden="1" outlineLevel="1">
      <c r="B22" s="7" t="inlineStr">
        <is>
          <t>Repair collected — Erin K.</t>
        </is>
      </c>
      <c r="D22" s="4" t="n">
        <v>225</v>
      </c>
    </row>
    <row r="23" hidden="1" outlineLevel="1">
      <c r="B23" s="7" t="inlineStr">
        <is>
          <t>Repair collected — Noah B.</t>
        </is>
      </c>
      <c r="D23" s="4" t="n">
        <v>210</v>
      </c>
    </row>
    <row r="24" hidden="1" outlineLevel="1">
      <c r="B24" s="7" t="inlineStr">
        <is>
          <t>Repair collected — Grace L.</t>
        </is>
      </c>
      <c r="D24" s="4" t="n">
        <v>240</v>
      </c>
    </row>
    <row r="25" hidden="1" outlineLevel="1">
      <c r="B25" s="7" t="inlineStr">
        <is>
          <t>Repair collected — Theo H.</t>
        </is>
      </c>
      <c r="D25" s="4" t="n">
        <v>240</v>
      </c>
    </row>
    <row r="26" hidden="1" outlineLevel="1">
      <c r="B26" s="7" t="inlineStr">
        <is>
          <t>Repair collected — Maya P.</t>
        </is>
      </c>
      <c r="D26" s="4" t="n">
        <v>450</v>
      </c>
    </row>
    <row r="27" hidden="1" outlineLevel="1">
      <c r="B27" s="7" t="inlineStr">
        <is>
          <t>Repair collected — Owen C.</t>
        </is>
      </c>
      <c r="D27" s="4" t="n">
        <v>360</v>
      </c>
    </row>
    <row r="28" hidden="1" outlineLevel="1">
      <c r="B28" s="7" t="inlineStr">
        <is>
          <t>Repair collected — Ava D.</t>
        </is>
      </c>
      <c r="D28" s="4" t="n">
        <v>270</v>
      </c>
    </row>
    <row r="29" hidden="1" outlineLevel="1">
      <c r="B29" s="7" t="inlineStr">
        <is>
          <t>Repair collected — Leo F.</t>
        </is>
      </c>
      <c r="D29" s="4" t="n">
        <v>240</v>
      </c>
    </row>
    <row r="30" hidden="1" outlineLevel="1">
      <c r="B30" s="7" t="inlineStr">
        <is>
          <t>Repair collected — Nina V.</t>
        </is>
      </c>
      <c r="D30" s="4" t="n">
        <v>300</v>
      </c>
    </row>
    <row r="31" hidden="1" outlineLevel="1">
      <c r="B31" s="7" t="inlineStr">
        <is>
          <t>Repair collected — Caleb G.</t>
        </is>
      </c>
      <c r="D31" s="4" t="n">
        <v>240</v>
      </c>
    </row>
    <row r="32" hidden="1" outlineLevel="1">
      <c r="B32" s="7" t="inlineStr">
        <is>
          <t>Repair collected — Ruth A.</t>
        </is>
      </c>
      <c r="D32" s="4" t="n">
        <v>485</v>
      </c>
    </row>
    <row r="33" hidden="1" outlineLevel="1">
      <c r="B33" s="7" t="inlineStr">
        <is>
          <t>Repair collected — Sam Q.</t>
        </is>
      </c>
      <c r="D33" s="4" t="n">
        <v>390</v>
      </c>
    </row>
    <row r="34" hidden="1" outlineLevel="1">
      <c r="B34" s="7" t="inlineStr">
        <is>
          <t>Repair collected — Westville Bike Share</t>
        </is>
      </c>
      <c r="D34" s="4" t="n">
        <v>500</v>
      </c>
    </row>
    <row r="35" hidden="1" outlineLevel="1">
      <c r="B35" s="7" t="inlineStr">
        <is>
          <t>Parts bought — June</t>
        </is>
      </c>
      <c r="D35" s="4" t="n">
        <v>-500</v>
      </c>
    </row>
    <row r="36" hidden="1" outlineLevel="1">
      <c r="B36" s="7" t="inlineStr">
        <is>
          <t>Parts bought — July</t>
        </is>
      </c>
      <c r="D36" s="4" t="n">
        <v>-400</v>
      </c>
    </row>
    <row r="37" hidden="1" outlineLevel="1">
      <c r="B37" s="7" t="inlineStr">
        <is>
          <t>Parts bought — August</t>
        </is>
      </c>
      <c r="D37" s="4" t="n">
        <v>-300</v>
      </c>
    </row>
    <row r="38" hidden="1" outlineLevel="1">
      <c r="B38" s="7" t="inlineStr">
        <is>
          <t>Rent paid — June</t>
        </is>
      </c>
      <c r="D38" s="4" t="n">
        <v>-650</v>
      </c>
    </row>
    <row r="39" hidden="1" outlineLevel="1">
      <c r="B39" s="7" t="inlineStr">
        <is>
          <t>Rent paid — July</t>
        </is>
      </c>
      <c r="D39" s="4" t="n">
        <v>-650</v>
      </c>
    </row>
    <row r="40" hidden="1" outlineLevel="1">
      <c r="B40" s="7" t="inlineStr">
        <is>
          <t>Rent paid — August</t>
        </is>
      </c>
      <c r="D40" s="4" t="n">
        <v>-650</v>
      </c>
    </row>
    <row r="41" hidden="1" outlineLevel="1">
      <c r="B41" s="7" t="inlineStr">
        <is>
          <t>New repair tool</t>
        </is>
      </c>
      <c r="D41" s="4" t="n">
        <v>-400</v>
      </c>
    </row>
    <row r="42" hidden="1" outlineLevel="1">
      <c r="B42" s="7" t="inlineStr">
        <is>
          <t>Credit card paid off</t>
        </is>
      </c>
      <c r="D42" s="4" t="n">
        <v>-2030</v>
      </c>
    </row>
    <row r="43" hidden="1" outlineLevel="1">
      <c r="B43" s="7" t="inlineStr">
        <is>
          <t>Money taken out for personal use</t>
        </is>
      </c>
      <c r="D43" s="4" t="n">
        <v>-600</v>
      </c>
    </row>
    <row r="44" collapsed="1">
      <c r="B44" s="16" t="inlineStr">
        <is>
          <t>Balance, August 31, 2026</t>
        </is>
      </c>
      <c r="C44" s="17" t="n"/>
      <c r="D44" s="13">
        <f>D15+SUM(D16:D43)</f>
        <v>620</v>
        <v/>
      </c>
    </row>
    <row r="46">
      <c r="B46" s="6" t="inlineStr">
        <is>
          <t>Accounts Receivable</t>
        </is>
      </c>
      <c r="C46" s="11" t="n"/>
      <c r="D46" s="11" t="n"/>
    </row>
    <row r="47" hidden="1" outlineLevel="1">
      <c r="B47" s="3" t="inlineStr">
        <is>
          <t>Ridgeline Trail Crew — finished Aug 28, net 15 (unpaid)</t>
        </is>
      </c>
      <c r="D47" s="4" t="n">
        <v>300</v>
      </c>
    </row>
    <row r="48" collapsed="1">
      <c r="B48" s="16" t="inlineStr">
        <is>
          <t>Balance, August 31, 2026</t>
        </is>
      </c>
      <c r="C48" s="17" t="n"/>
      <c r="D48" s="13">
        <f>SUM(D47:D47)</f>
        <v>300</v>
        <v/>
      </c>
    </row>
    <row r="50">
      <c r="B50" s="6" t="inlineStr">
        <is>
          <t>Right of Use</t>
        </is>
      </c>
      <c r="C50" s="11" t="n"/>
      <c r="D50" s="11" t="n"/>
    </row>
    <row r="51" hidden="1" outlineLevel="1">
      <c r="B51" s="3" t="inlineStr">
        <is>
          <t>Last month's rent, paid in advance (on deposit)</t>
        </is>
      </c>
      <c r="D51" s="4" t="n">
        <v>650</v>
      </c>
    </row>
    <row r="52" collapsed="1">
      <c r="B52" s="16" t="inlineStr">
        <is>
          <t>Balance, June 1, 2026</t>
        </is>
      </c>
      <c r="C52" s="17" t="n"/>
      <c r="D52" s="13">
        <f>SUM(D51:D51)</f>
        <v>650</v>
        <v/>
      </c>
    </row>
    <row r="53">
      <c r="B53" s="16" t="inlineStr">
        <is>
          <t>Balance, August 31, 2026</t>
        </is>
      </c>
      <c r="C53" s="17" t="n"/>
      <c r="D53" s="13">
        <f>D52</f>
        <v>650</v>
        <v/>
      </c>
    </row>
    <row r="55">
      <c r="B55" s="6" t="inlineStr">
        <is>
          <t>Parts</t>
        </is>
      </c>
      <c r="C55" s="11" t="n"/>
      <c r="D55" s="11" t="n"/>
    </row>
    <row r="56" hidden="1" outlineLevel="1">
      <c r="B56" s="3" t="inlineStr">
        <is>
          <t>Chains</t>
        </is>
      </c>
      <c r="D56" s="4" t="n">
        <v>50</v>
      </c>
    </row>
    <row r="57" hidden="1" outlineLevel="1">
      <c r="B57" s="3" t="inlineStr">
        <is>
          <t>Brake pads</t>
        </is>
      </c>
      <c r="D57" s="4" t="n">
        <v>40</v>
      </c>
    </row>
    <row r="58" hidden="1" outlineLevel="1">
      <c r="B58" s="3" t="inlineStr">
        <is>
          <t>Derailleur cables</t>
        </is>
      </c>
      <c r="D58" s="4" t="n">
        <v>20</v>
      </c>
    </row>
    <row r="59" hidden="1" outlineLevel="1">
      <c r="B59" s="3" t="inlineStr">
        <is>
          <t>Cassettes</t>
        </is>
      </c>
      <c r="D59" s="4" t="n">
        <v>40</v>
      </c>
    </row>
    <row r="60" hidden="1" outlineLevel="1">
      <c r="B60" s="3" t="inlineStr">
        <is>
          <t>Bottom brackets</t>
        </is>
      </c>
      <c r="D60" s="4" t="n">
        <v>20</v>
      </c>
    </row>
    <row r="61" hidden="1" outlineLevel="1">
      <c r="B61" s="3" t="inlineStr">
        <is>
          <t>Spokes</t>
        </is>
      </c>
      <c r="D61" s="4" t="n">
        <v>20</v>
      </c>
    </row>
    <row r="62" hidden="1" outlineLevel="1">
      <c r="B62" s="3" t="inlineStr">
        <is>
          <t>Tubes</t>
        </is>
      </c>
      <c r="D62" s="4" t="n">
        <v>10</v>
      </c>
    </row>
    <row r="63" collapsed="1">
      <c r="B63" s="16" t="inlineStr">
        <is>
          <t>Balance, June 1, 2026</t>
        </is>
      </c>
      <c r="C63" s="17" t="n"/>
      <c r="D63" s="13">
        <f>SUM(D56:D62)</f>
        <v>200</v>
        <v/>
      </c>
    </row>
    <row r="64" hidden="1" outlineLevel="1">
      <c r="B64" s="3" t="inlineStr">
        <is>
          <t>Chains ×10 (June)</t>
        </is>
      </c>
      <c r="D64" s="4" t="n">
        <v>150</v>
      </c>
    </row>
    <row r="65" hidden="1" outlineLevel="1">
      <c r="B65" s="3" t="inlineStr">
        <is>
          <t>11-spd cassettes ×4 (June)</t>
        </is>
      </c>
      <c r="D65" s="4" t="n">
        <v>160</v>
      </c>
    </row>
    <row r="66" hidden="1" outlineLevel="1">
      <c r="B66" s="3" t="inlineStr">
        <is>
          <t>Brake pad sets ×12 (June)</t>
        </is>
      </c>
      <c r="D66" s="4" t="n">
        <v>90</v>
      </c>
    </row>
    <row r="67" hidden="1" outlineLevel="1">
      <c r="B67" s="3" t="inlineStr">
        <is>
          <t>Cables + housing (assorted) (June)</t>
        </is>
      </c>
      <c r="D67" s="4" t="n">
        <v>60</v>
      </c>
    </row>
    <row r="68" hidden="1" outlineLevel="1">
      <c r="B68" s="3" t="inlineStr">
        <is>
          <t>Tubes ×10 (June)</t>
        </is>
      </c>
      <c r="D68" s="4" t="n">
        <v>40</v>
      </c>
    </row>
    <row r="69" hidden="1" outlineLevel="1">
      <c r="B69" s="3" t="inlineStr">
        <is>
          <t>Chainrings + jockey wheels (July)</t>
        </is>
      </c>
      <c r="D69" s="4" t="n">
        <v>120</v>
      </c>
    </row>
    <row r="70" hidden="1" outlineLevel="1">
      <c r="B70" s="3" t="inlineStr">
        <is>
          <t>Bottom brackets ×3 (July)</t>
        </is>
      </c>
      <c r="D70" s="4" t="n">
        <v>105</v>
      </c>
    </row>
    <row r="71" hidden="1" outlineLevel="1">
      <c r="B71" s="3" t="inlineStr">
        <is>
          <t>Shift cables + housing (July)</t>
        </is>
      </c>
      <c r="D71" s="4" t="n">
        <v>75</v>
      </c>
    </row>
    <row r="72" hidden="1" outlineLevel="1">
      <c r="B72" s="3" t="inlineStr">
        <is>
          <t>Tubeless sealant + valves (July)</t>
        </is>
      </c>
      <c r="D72" s="4" t="n">
        <v>60</v>
      </c>
    </row>
    <row r="73" hidden="1" outlineLevel="1">
      <c r="B73" s="3" t="inlineStr">
        <is>
          <t>Spokes + nipples (July)</t>
        </is>
      </c>
      <c r="D73" s="4" t="n">
        <v>40</v>
      </c>
    </row>
    <row r="74" hidden="1" outlineLevel="1">
      <c r="B74" s="3" t="inlineStr">
        <is>
          <t>Tires ×4 (August)</t>
        </is>
      </c>
      <c r="D74" s="4" t="n">
        <v>130</v>
      </c>
    </row>
    <row r="75" hidden="1" outlineLevel="1">
      <c r="B75" s="3" t="inlineStr">
        <is>
          <t>Brake pads (assorted) (August)</t>
        </is>
      </c>
      <c r="D75" s="4" t="n">
        <v>70</v>
      </c>
    </row>
    <row r="76" hidden="1" outlineLevel="1">
      <c r="B76" s="3" t="inlineStr">
        <is>
          <t>Cables + housing (August)</t>
        </is>
      </c>
      <c r="D76" s="4" t="n">
        <v>50</v>
      </c>
    </row>
    <row r="77" hidden="1" outlineLevel="1">
      <c r="B77" s="3" t="inlineStr">
        <is>
          <t>Tubes ×8 (August)</t>
        </is>
      </c>
      <c r="D77" s="4" t="n">
        <v>30</v>
      </c>
    </row>
    <row r="78" hidden="1" outlineLevel="1">
      <c r="B78" s="3" t="inlineStr">
        <is>
          <t>Small parts (bolts, tape) (August)</t>
        </is>
      </c>
      <c r="D78" s="4" t="n">
        <v>20</v>
      </c>
    </row>
    <row r="79" hidden="1" outlineLevel="1">
      <c r="B79" s="3" t="inlineStr">
        <is>
          <t>Parts used — Dana R.</t>
        </is>
      </c>
      <c r="D79" s="4" t="n">
        <v>-10</v>
      </c>
    </row>
    <row r="80" hidden="1" outlineLevel="1">
      <c r="B80" s="3" t="inlineStr">
        <is>
          <t>Parts used — Priya S.</t>
        </is>
      </c>
      <c r="D80" s="4" t="n">
        <v>-25</v>
      </c>
    </row>
    <row r="81" hidden="1" outlineLevel="1">
      <c r="B81" s="3" t="inlineStr">
        <is>
          <t>Parts used — Liam O.</t>
        </is>
      </c>
      <c r="D81" s="4" t="n">
        <v>-95</v>
      </c>
    </row>
    <row r="82" hidden="1" outlineLevel="1">
      <c r="B82" s="3" t="inlineStr">
        <is>
          <t>Parts used — Jamal W.</t>
        </is>
      </c>
      <c r="D82" s="4" t="n">
        <v>-60</v>
      </c>
    </row>
    <row r="83" hidden="1" outlineLevel="1">
      <c r="B83" s="3" t="inlineStr">
        <is>
          <t>Parts used — Erin K.</t>
        </is>
      </c>
      <c r="D83" s="4" t="n">
        <v>-40</v>
      </c>
    </row>
    <row r="84" hidden="1" outlineLevel="1">
      <c r="B84" s="3" t="inlineStr">
        <is>
          <t>Parts used — Noah B.</t>
        </is>
      </c>
      <c r="D84" s="4" t="n">
        <v>-65</v>
      </c>
    </row>
    <row r="85" hidden="1" outlineLevel="1">
      <c r="B85" s="3" t="inlineStr">
        <is>
          <t>Parts used — Grace L.</t>
        </is>
      </c>
      <c r="D85" s="4" t="n">
        <v>-35</v>
      </c>
    </row>
    <row r="86" hidden="1" outlineLevel="1">
      <c r="B86" s="3" t="inlineStr">
        <is>
          <t>Parts used — Theo H.</t>
        </is>
      </c>
      <c r="D86" s="4" t="n">
        <v>-25</v>
      </c>
    </row>
    <row r="87" hidden="1" outlineLevel="1">
      <c r="B87" s="3" t="inlineStr">
        <is>
          <t>Parts used — Maya P.</t>
        </is>
      </c>
      <c r="D87" s="4" t="n">
        <v>-125</v>
      </c>
    </row>
    <row r="88" hidden="1" outlineLevel="1">
      <c r="B88" s="3" t="inlineStr">
        <is>
          <t>Parts used — Owen C.</t>
        </is>
      </c>
      <c r="D88" s="4" t="n">
        <v>-55</v>
      </c>
    </row>
    <row r="89" hidden="1" outlineLevel="1">
      <c r="B89" s="3" t="inlineStr">
        <is>
          <t>Parts used — Ava D.</t>
        </is>
      </c>
      <c r="D89" s="4" t="n">
        <v>-45</v>
      </c>
    </row>
    <row r="90" hidden="1" outlineLevel="1">
      <c r="B90" s="3" t="inlineStr">
        <is>
          <t>Parts used — Leo F.</t>
        </is>
      </c>
      <c r="D90" s="4" t="n">
        <v>-100</v>
      </c>
    </row>
    <row r="91" hidden="1" outlineLevel="1">
      <c r="B91" s="3" t="inlineStr">
        <is>
          <t>Parts used — Nina V.</t>
        </is>
      </c>
      <c r="D91" s="4" t="n">
        <v>-80</v>
      </c>
    </row>
    <row r="92" hidden="1" outlineLevel="1">
      <c r="B92" s="3" t="inlineStr">
        <is>
          <t>Parts used — Caleb G.</t>
        </is>
      </c>
      <c r="D92" s="4" t="n">
        <v>-25</v>
      </c>
    </row>
    <row r="93" hidden="1" outlineLevel="1">
      <c r="B93" s="3" t="inlineStr">
        <is>
          <t>Parts used — Ruth A.</t>
        </is>
      </c>
      <c r="D93" s="4" t="n">
        <v>-129</v>
      </c>
    </row>
    <row r="94" hidden="1" outlineLevel="1">
      <c r="B94" s="3" t="inlineStr">
        <is>
          <t>Parts used — Sam Q.</t>
        </is>
      </c>
      <c r="D94" s="4" t="n">
        <v>-70</v>
      </c>
    </row>
    <row r="95" hidden="1" outlineLevel="1">
      <c r="B95" s="3" t="inlineStr">
        <is>
          <t>Parts used — Westville Bike Share</t>
        </is>
      </c>
      <c r="D95" s="4" t="n">
        <v>-105</v>
      </c>
    </row>
    <row r="96" hidden="1" outlineLevel="1">
      <c r="B96" s="3" t="inlineStr">
        <is>
          <t>Parts used — Ridgeline Trail Crew</t>
        </is>
      </c>
      <c r="D96" s="4" t="n">
        <v>-75</v>
      </c>
    </row>
    <row r="97" hidden="1" outlineLevel="1">
      <c r="B97" s="3" t="inlineStr">
        <is>
          <t>Parts used — J. Smith</t>
        </is>
      </c>
      <c r="D97" s="4" t="n">
        <v>-36</v>
      </c>
    </row>
    <row r="98" collapsed="1">
      <c r="B98" s="16" t="inlineStr">
        <is>
          <t>Balance, August 31, 2026</t>
        </is>
      </c>
      <c r="C98" s="17" t="n"/>
      <c r="D98" s="13">
        <f>D63+SUM(D64:D97)</f>
        <v>200</v>
        <v/>
      </c>
    </row>
    <row r="100">
      <c r="B100" s="6" t="inlineStr">
        <is>
          <t>Tools &amp; Repair Equipment</t>
        </is>
      </c>
      <c r="C100" s="11" t="n"/>
      <c r="D100" s="11" t="n"/>
    </row>
    <row r="101" hidden="1" outlineLevel="1">
      <c r="B101" s="3" t="inlineStr">
        <is>
          <t>Repair stand</t>
        </is>
      </c>
      <c r="D101" s="4" t="n">
        <v>200</v>
      </c>
    </row>
    <row r="102" hidden="1" outlineLevel="1">
      <c r="B102" s="3" t="inlineStr">
        <is>
          <t>Air compressor</t>
        </is>
      </c>
      <c r="D102" s="4" t="n">
        <v>180</v>
      </c>
    </row>
    <row r="103" hidden="1" outlineLevel="1">
      <c r="B103" s="3" t="inlineStr">
        <is>
          <t>Parts washer</t>
        </is>
      </c>
      <c r="D103" s="4" t="n">
        <v>130</v>
      </c>
    </row>
    <row r="104" hidden="1" outlineLevel="1">
      <c r="B104" s="3" t="inlineStr">
        <is>
          <t>Wheel-truing stand</t>
        </is>
      </c>
      <c r="D104" s="4" t="n">
        <v>170</v>
      </c>
    </row>
    <row r="105" hidden="1" outlineLevel="1">
      <c r="B105" s="3" t="inlineStr">
        <is>
          <t>Cone wrench set</t>
        </is>
      </c>
      <c r="D105" s="4" t="n">
        <v>65</v>
      </c>
    </row>
    <row r="106" hidden="1" outlineLevel="1">
      <c r="B106" s="3" t="inlineStr">
        <is>
          <t>Torque wrench</t>
        </is>
      </c>
      <c r="D106" s="4" t="n">
        <v>95</v>
      </c>
    </row>
    <row r="107" hidden="1" outlineLevel="1">
      <c r="B107" s="3" t="inlineStr">
        <is>
          <t>Hex/Allen set</t>
        </is>
      </c>
      <c r="D107" s="4" t="n">
        <v>45</v>
      </c>
    </row>
    <row r="108" hidden="1" outlineLevel="1">
      <c r="B108" s="3" t="inlineStr">
        <is>
          <t>Cable cutters</t>
        </is>
      </c>
      <c r="D108" s="4" t="n">
        <v>40</v>
      </c>
    </row>
    <row r="109" hidden="1" outlineLevel="1">
      <c r="B109" s="3" t="inlineStr">
        <is>
          <t>Chain breaker</t>
        </is>
      </c>
      <c r="D109" s="4" t="n">
        <v>35</v>
      </c>
    </row>
    <row r="110" hidden="1" outlineLevel="1">
      <c r="B110" s="3" t="inlineStr">
        <is>
          <t>Tire levers</t>
        </is>
      </c>
      <c r="D110" s="4" t="n">
        <v>20</v>
      </c>
    </row>
    <row r="111" hidden="1" outlineLevel="1">
      <c r="B111" s="3" t="inlineStr">
        <is>
          <t>Bench grinder</t>
        </is>
      </c>
      <c r="D111" s="4" t="n">
        <v>90</v>
      </c>
    </row>
    <row r="112" hidden="1" outlineLevel="1">
      <c r="B112" s="3" t="inlineStr">
        <is>
          <t>Headset press</t>
        </is>
      </c>
      <c r="D112" s="4" t="n">
        <v>70</v>
      </c>
    </row>
    <row r="113" hidden="1" outlineLevel="1">
      <c r="B113" s="3" t="inlineStr">
        <is>
          <t>Shop vacuum</t>
        </is>
      </c>
      <c r="D113" s="4" t="n">
        <v>60</v>
      </c>
    </row>
    <row r="114" collapsed="1">
      <c r="B114" s="16" t="inlineStr">
        <is>
          <t>Balance, June 1, 2026</t>
        </is>
      </c>
      <c r="C114" s="17" t="n"/>
      <c r="D114" s="13">
        <f>SUM(D101:D113)</f>
        <v>1200</v>
        <v/>
      </c>
    </row>
    <row r="115" hidden="1" outlineLevel="1">
      <c r="B115" s="3" t="inlineStr">
        <is>
          <t>New repair tool bought this season</t>
        </is>
      </c>
      <c r="D115" s="4" t="n">
        <v>400</v>
      </c>
    </row>
    <row r="116" hidden="1" outlineLevel="1">
      <c r="B116" s="3" t="inlineStr">
        <is>
          <t>Depreciation — Summer 2026 (the season's share of the cost)</t>
        </is>
      </c>
      <c r="D116" s="4" t="n">
        <v>-160</v>
      </c>
    </row>
    <row r="117" collapsed="1">
      <c r="B117" s="16" t="inlineStr">
        <is>
          <t>Balance, August 31, 2026</t>
        </is>
      </c>
      <c r="C117" s="17" t="n"/>
      <c r="D117" s="13">
        <f>D114+SUM(D115:D116)</f>
        <v>1440</v>
        <v/>
      </c>
    </row>
    <row r="119">
      <c r="B119" s="6" t="inlineStr">
        <is>
          <t>Fixtures</t>
        </is>
      </c>
      <c r="C119" s="11" t="n"/>
      <c r="D119" s="11" t="n"/>
    </row>
    <row r="120" hidden="1" outlineLevel="1">
      <c r="B120" s="3" t="inlineStr">
        <is>
          <t>Desk</t>
        </is>
      </c>
      <c r="D120" s="4" t="n">
        <v>250</v>
      </c>
    </row>
    <row r="121" hidden="1" outlineLevel="1">
      <c r="B121" s="3" t="inlineStr">
        <is>
          <t>Shelving units</t>
        </is>
      </c>
      <c r="D121" s="4" t="n">
        <v>200</v>
      </c>
    </row>
    <row r="122" hidden="1" outlineLevel="1">
      <c r="B122" s="3" t="inlineStr">
        <is>
          <t>Display rack</t>
        </is>
      </c>
      <c r="D122" s="4" t="n">
        <v>180</v>
      </c>
    </row>
    <row r="123" hidden="1" outlineLevel="1">
      <c r="B123" s="3" t="inlineStr">
        <is>
          <t>Pegboard + hooks</t>
        </is>
      </c>
      <c r="D123" s="4" t="n">
        <v>120</v>
      </c>
    </row>
    <row r="124" collapsed="1">
      <c r="B124" s="16" t="inlineStr">
        <is>
          <t>Balance, June 1, 2026</t>
        </is>
      </c>
      <c r="C124" s="17" t="n"/>
      <c r="D124" s="13">
        <f>SUM(D120:D123)</f>
        <v>750</v>
        <v/>
      </c>
    </row>
    <row r="125" hidden="1" outlineLevel="1">
      <c r="B125" s="3" t="inlineStr">
        <is>
          <t>Depreciation — Summer 2026 (the season's share of the cost)</t>
        </is>
      </c>
      <c r="D125" s="4" t="n">
        <v>-40</v>
      </c>
    </row>
    <row r="126" collapsed="1">
      <c r="B126" s="16" t="inlineStr">
        <is>
          <t>Balance, August 31, 2026</t>
        </is>
      </c>
      <c r="C126" s="17" t="n"/>
      <c r="D126" s="13">
        <f>D124+SUM(D125:D125)</f>
        <v>710</v>
        <v/>
      </c>
    </row>
    <row r="128">
      <c r="B128" s="6" t="inlineStr">
        <is>
          <t>Laptop</t>
        </is>
      </c>
      <c r="C128" s="11" t="n"/>
      <c r="D128" s="11" t="n"/>
    </row>
    <row r="129" hidden="1" outlineLevel="1">
      <c r="B129" s="3" t="inlineStr">
        <is>
          <t>Laptop (from home)</t>
        </is>
      </c>
      <c r="D129" s="4" t="n">
        <v>610</v>
      </c>
    </row>
    <row r="130" collapsed="1">
      <c r="B130" s="16" t="inlineStr">
        <is>
          <t>Balance, June 1, 2026</t>
        </is>
      </c>
      <c r="C130" s="17" t="n"/>
      <c r="D130" s="13">
        <f>SUM(D129:D129)</f>
        <v>610</v>
        <v/>
      </c>
    </row>
    <row r="131" hidden="1" outlineLevel="1">
      <c r="B131" s="3" t="inlineStr">
        <is>
          <t>Depreciation — Summer 2026 (the season's share of the cost)</t>
        </is>
      </c>
      <c r="D131" s="4" t="n">
        <v>-30</v>
      </c>
    </row>
    <row r="132" collapsed="1">
      <c r="B132" s="16" t="inlineStr">
        <is>
          <t>Balance, August 31, 2026</t>
        </is>
      </c>
      <c r="C132" s="17" t="n"/>
      <c r="D132" s="13">
        <f>D130+SUM(D131:D131)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outlineLevel="1">
      <c r="B3" s="3" t="inlineStr">
        <is>
          <t>Charged — hand tools</t>
        </is>
      </c>
      <c r="D3" s="4" t="n">
        <v>300</v>
      </c>
    </row>
    <row r="4" outlineLevel="1">
      <c r="B4" s="3" t="inlineStr">
        <is>
          <t>Charged — air compressor</t>
        </is>
      </c>
      <c r="D4" s="4" t="n">
        <v>180</v>
      </c>
    </row>
    <row r="5" outlineLevel="1">
      <c r="B5" s="3" t="inlineStr">
        <is>
          <t>Charged — parts washer</t>
        </is>
      </c>
      <c r="D5" s="4" t="n">
        <v>130</v>
      </c>
    </row>
    <row r="6" outlineLevel="1">
      <c r="B6" s="3" t="inlineStr">
        <is>
          <t>Charged — wheel-truing stand</t>
        </is>
      </c>
      <c r="D6" s="4" t="n">
        <v>170</v>
      </c>
    </row>
    <row r="7" outlineLevel="1">
      <c r="B7" s="3" t="inlineStr">
        <is>
          <t>Charged — fixtures</t>
        </is>
      </c>
      <c r="D7" s="4" t="n">
        <v>750</v>
      </c>
    </row>
    <row r="8" outlineLevel="1">
      <c r="B8" s="3" t="inlineStr">
        <is>
          <t>Charged — parts (QBP order)</t>
        </is>
      </c>
      <c r="D8" s="4" t="n">
        <v>500</v>
      </c>
    </row>
    <row r="9">
      <c r="B9" s="16" t="inlineStr">
        <is>
          <t>Balance, June 1, 2026</t>
        </is>
      </c>
      <c r="C9" s="17" t="n"/>
      <c r="D9" s="13">
        <f>SUM(D3:D8)</f>
        <v>2030</v>
        <v/>
      </c>
    </row>
    <row r="10" outlineLevel="1">
      <c r="B10" s="3" t="inlineStr">
        <is>
          <t>Paid off in full this season</t>
        </is>
      </c>
      <c r="D10" s="4" t="n">
        <v>-2030</v>
      </c>
    </row>
    <row r="11">
      <c r="B11" s="16" t="inlineStr">
        <is>
          <t>Balance, August 31, 2026</t>
        </is>
      </c>
      <c r="C11" s="17" t="n"/>
      <c r="D11" s="13">
        <f>D9+SUM(D10:D10)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outlineLevel="1">
      <c r="B14" s="3" t="inlineStr">
        <is>
          <t>Smith's advance for a custom frame</t>
        </is>
      </c>
      <c r="D14" s="4" t="n">
        <v>220</v>
      </c>
    </row>
    <row r="15">
      <c r="B15" s="16" t="inlineStr">
        <is>
          <t>Balance, June 1, 2026</t>
        </is>
      </c>
      <c r="C15" s="17" t="n"/>
      <c r="D15" s="13">
        <f>SUM(D14:D14)</f>
        <v>220</v>
        <v/>
      </c>
    </row>
    <row r="16" outlineLevel="1">
      <c r="B16" s="3" t="inlineStr">
        <is>
          <t>Built and delivered Smith's frame — no longer owed</t>
        </is>
      </c>
      <c r="D16" s="4" t="n">
        <v>-220</v>
      </c>
    </row>
    <row r="17">
      <c r="B17" s="16" t="inlineStr">
        <is>
          <t>Balance, August 31, 2026</t>
        </is>
      </c>
      <c r="C17" s="17" t="n"/>
      <c r="D17" s="13">
        <f>D15+SUM(D16:D16)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6"/>
  <sheetViews>
    <sheetView zoomScale="258" zoomScaleNormal="258" workbookViewId="0">
      <selection activeCell="B2" sqref="B2:D7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30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30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30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D15+SUM(D16:D61)</f>
        <v>2640</v>
        <v/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 hidden="1" outlineLevel="1">
      <c r="B65" s="3" t="inlineStr">
        <is>
          <t>Owner's draw — money taken out for personal use</t>
        </is>
      </c>
      <c r="D65" s="4" t="n">
        <v>-600</v>
      </c>
    </row>
    <row r="66" collapsed="1">
      <c r="B66" s="16" t="inlineStr">
        <is>
          <t>Balance, August 31, 2026</t>
        </is>
      </c>
      <c r="C66" s="17" t="n"/>
      <c r="D66" s="13">
        <f>SUM(D65:D65)</f>
        <v>-600</v>
        <v/>
      </c>
    </row>
    <row r="70" outlineLevel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8" t="n">
        <v>1300</v>
      </c>
      <c r="D5" s="18" t="n">
        <v>620</v>
      </c>
    </row>
    <row r="6">
      <c r="B6" s="8" t="inlineStr">
        <is>
          <t>Accounts Receivable</t>
        </is>
      </c>
      <c r="C6" s="19" t="n">
        <v>0</v>
      </c>
      <c r="D6" s="19" t="n">
        <v>300</v>
      </c>
    </row>
    <row r="7">
      <c r="B7" s="8" t="inlineStr">
        <is>
          <t>Right of Use</t>
        </is>
      </c>
      <c r="C7" s="19" t="n">
        <v>650</v>
      </c>
      <c r="D7" s="19" t="n">
        <v>650</v>
      </c>
    </row>
    <row r="8">
      <c r="B8" s="8" t="inlineStr">
        <is>
          <t>Parts</t>
        </is>
      </c>
      <c r="C8" s="19" t="n">
        <v>200</v>
      </c>
      <c r="D8" s="19" t="n">
        <v>200</v>
      </c>
    </row>
    <row r="9">
      <c r="B9" s="8" t="inlineStr">
        <is>
          <t>Tools &amp; Repair Equipment</t>
        </is>
      </c>
      <c r="C9" s="19" t="n">
        <v>1200</v>
      </c>
      <c r="D9" s="19" t="n">
        <v>1440</v>
      </c>
    </row>
    <row r="10">
      <c r="B10" s="8" t="inlineStr">
        <is>
          <t>Fixtures</t>
        </is>
      </c>
      <c r="C10" s="19" t="n">
        <v>750</v>
      </c>
      <c r="D10" s="19" t="n">
        <v>710</v>
      </c>
    </row>
    <row r="11">
      <c r="B11" s="8" t="inlineStr">
        <is>
          <t>Laptop</t>
        </is>
      </c>
      <c r="C11" s="19" t="n">
        <v>610</v>
      </c>
      <c r="D11" s="19" t="n">
        <v>580</v>
      </c>
    </row>
    <row r="12">
      <c r="B12" s="10" t="inlineStr">
        <is>
          <t>Total Assets</t>
        </is>
      </c>
      <c r="C12" s="20" t="n">
        <v>4710</v>
      </c>
      <c r="D12" s="20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8" t="n">
        <v>2030</v>
      </c>
      <c r="D14" s="18" t="n">
        <v>0</v>
      </c>
    </row>
    <row r="15">
      <c r="B15" s="8" t="inlineStr">
        <is>
          <t>Customer Deposit</t>
        </is>
      </c>
      <c r="C15" s="19" t="n">
        <v>220</v>
      </c>
      <c r="D15" s="19" t="n">
        <v>0</v>
      </c>
    </row>
    <row r="16">
      <c r="B16" s="10" t="inlineStr">
        <is>
          <t>Total Liabilities</t>
        </is>
      </c>
      <c r="C16" s="20" t="n">
        <v>2250</v>
      </c>
      <c r="D16" s="20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8" t="n">
        <v>2460</v>
      </c>
      <c r="D18" s="18" t="n">
        <v>2460</v>
      </c>
    </row>
    <row r="19">
      <c r="B19" s="8" t="inlineStr">
        <is>
          <t>Generated</t>
        </is>
      </c>
      <c r="C19" s="19" t="n">
        <v>0</v>
      </c>
      <c r="D19" s="19" t="n">
        <v>2640</v>
      </c>
    </row>
    <row r="20">
      <c r="B20" s="8" t="inlineStr">
        <is>
          <t>Withdrawn</t>
        </is>
      </c>
      <c r="C20" s="19" t="n">
        <v>0</v>
      </c>
      <c r="D20" s="19" t="n">
        <v>-600</v>
      </c>
    </row>
    <row r="21">
      <c r="B21" s="10" t="inlineStr">
        <is>
          <t>Total Member's Capital</t>
        </is>
      </c>
      <c r="C21" s="20" t="n">
        <v>2460</v>
      </c>
      <c r="D21" s="20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60" zoomScaleNormal="160" workbookViewId="0">
      <selection activeCell="F35" sqref="F35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1" t="inlineStr">
        <is>
          <t>For the period June 1 – August 31, 2026</t>
        </is>
      </c>
      <c r="D3" s="4" t="n"/>
    </row>
    <row r="4">
      <c r="B4" s="3" t="n"/>
      <c r="D4" s="4" t="n"/>
    </row>
    <row r="5">
      <c r="B5" s="27" t="inlineStr">
        <is>
          <t>Revenue</t>
        </is>
      </c>
      <c r="C5" s="27" t="n"/>
      <c r="D5" s="27" t="n"/>
    </row>
    <row r="6">
      <c r="B6" s="22" t="inlineStr">
        <is>
          <t>Repair services</t>
        </is>
      </c>
      <c r="D6" s="28" t="n">
        <v>6020</v>
      </c>
    </row>
    <row r="7">
      <c r="B7" s="23" t="inlineStr">
        <is>
          <t>Total revenue</t>
        </is>
      </c>
      <c r="C7" s="24" t="n"/>
      <c r="D7" s="25">
        <f>D6</f>
        <v>6020</v>
        <v/>
      </c>
    </row>
    <row r="9">
      <c r="B9" s="27" t="inlineStr">
        <is>
          <t>Expenses</t>
        </is>
      </c>
      <c r="C9" s="27" t="n"/>
      <c r="D9" s="27" t="n"/>
    </row>
    <row r="10">
      <c r="B10" s="22" t="inlineStr">
        <is>
          <t>Parts used</t>
        </is>
      </c>
      <c r="D10" s="28" t="n">
        <v>1200</v>
      </c>
    </row>
    <row r="11">
      <c r="B11" s="22" t="inlineStr">
        <is>
          <t>Rent</t>
        </is>
      </c>
      <c r="D11" s="26" t="n">
        <v>1950</v>
      </c>
    </row>
    <row r="12">
      <c r="B12" s="22" t="inlineStr">
        <is>
          <t>Depreciation</t>
        </is>
      </c>
      <c r="D12" s="26" t="n">
        <v>230</v>
      </c>
    </row>
    <row r="13">
      <c r="B13" s="23" t="inlineStr">
        <is>
          <t>Total expenses</t>
        </is>
      </c>
      <c r="C13" s="24" t="n"/>
      <c r="D13" s="25">
        <f>SUM(D10:D12)</f>
        <v>3380</v>
        <v/>
      </c>
    </row>
    <row r="15">
      <c r="B15" s="23" t="inlineStr">
        <is>
          <t>Net income</t>
        </is>
      </c>
      <c r="C15" s="24" t="n"/>
      <c r="D15" s="25">
        <f>D7-D13</f>
        <v>2640</v>
        <v/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B1:D70"/>
  <sheetViews>
    <sheetView tabSelected="1" zoomScale="160" zoomScaleNormal="160" workbookViewId="0">
      <selection activeCell="F42" sqref="F42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1" t="inlineStr">
        <is>
          <t>For the period June 1 – August 31, 2026</t>
        </is>
      </c>
    </row>
    <row r="4"/>
    <row r="5"/>
    <row r="6">
      <c r="B6" t="inlineStr">
        <is>
          <t>CONTRIBUTED</t>
        </is>
      </c>
    </row>
    <row r="7" hidden="1" outlineLevel="1">
      <c r="B7" t="inlineStr">
        <is>
          <t>Cash — Company received at formation (June 1)</t>
        </is>
      </c>
      <c r="D7" t="n">
        <v>1300</v>
      </c>
    </row>
    <row r="8" hidden="1" outlineLevel="1">
      <c r="B8" t="inlineStr">
        <is>
          <t>Right of Use — Company received at formation (June 1)</t>
        </is>
      </c>
      <c r="D8" t="n">
        <v>650</v>
      </c>
    </row>
    <row r="9" hidden="1" outlineLevel="1">
      <c r="B9" t="inlineStr">
        <is>
          <t>Parts — Company received at formation (June 1)</t>
        </is>
      </c>
      <c r="D9" t="n">
        <v>200</v>
      </c>
    </row>
    <row r="10" hidden="1" outlineLevel="1">
      <c r="B10" t="inlineStr">
        <is>
          <t>Tools &amp; Repair Equipment — Company received at formation (June 1)</t>
        </is>
      </c>
      <c r="D10" t="n">
        <v>1200</v>
      </c>
    </row>
    <row r="11" hidden="1" outlineLevel="1">
      <c r="B11" t="inlineStr">
        <is>
          <t>Fixtures — Company received at formation (June 1)</t>
        </is>
      </c>
      <c r="D11" t="n">
        <v>750</v>
      </c>
    </row>
    <row r="12" hidden="1" outlineLevel="1">
      <c r="B12" t="inlineStr">
        <is>
          <t>Laptop — Company received at formation (June 1)</t>
        </is>
      </c>
      <c r="D12" t="n">
        <v>610</v>
      </c>
    </row>
    <row r="13" hidden="1" outlineLevel="1">
      <c r="B13" t="inlineStr">
        <is>
          <t>Credit Card — Company assumed the claim at formation (June 1)</t>
        </is>
      </c>
      <c r="D13" t="n">
        <v>-2030</v>
      </c>
    </row>
    <row r="14" hidden="1" outlineLevel="1">
      <c r="B14" t="inlineStr">
        <is>
          <t>Customer Deposit — Company assumed the claim at formation (June 1)</t>
        </is>
      </c>
      <c r="D14" t="n">
        <v>-220</v>
      </c>
    </row>
    <row r="15" collapsed="1">
      <c r="B15" t="inlineStr">
        <is>
          <t>Balance, June 1, 2026</t>
        </is>
      </c>
      <c r="D15">
        <f>SUM(D7:D14)</f>
        <v>2460</v>
        <v/>
      </c>
    </row>
    <row r="16">
      <c r="B16" t="inlineStr">
        <is>
          <t>Balance, August 31, 2026</t>
        </is>
      </c>
      <c r="D16">
        <f>D15</f>
        <v>2460</v>
        <v/>
      </c>
    </row>
    <row r="17"/>
    <row r="18">
      <c r="B18" t="inlineStr">
        <is>
          <t>GENERATED</t>
        </is>
      </c>
    </row>
    <row r="19">
      <c r="B19" t="inlineStr">
        <is>
          <t>Balance, June 1, 2026</t>
        </is>
      </c>
      <c r="D19" t="n">
        <v>0</v>
      </c>
    </row>
    <row r="20" hidden="1" outlineLevel="1">
      <c r="B20" t="inlineStr">
        <is>
          <t>Repair collected — Dana R.</t>
        </is>
      </c>
      <c r="D20" t="n">
        <v>120</v>
      </c>
    </row>
    <row r="21" hidden="1" outlineLevel="1" ht="16" customHeight="1">
      <c r="B21" t="inlineStr">
        <is>
          <t>Parts used — Dana R.</t>
        </is>
      </c>
      <c r="D21" t="n">
        <v>-10</v>
      </c>
    </row>
    <row r="22" hidden="1" outlineLevel="1" ht="16" customHeight="1">
      <c r="B22" t="inlineStr">
        <is>
          <t>Repair collected — Marcus T.</t>
        </is>
      </c>
      <c r="D22" t="n">
        <v>150</v>
      </c>
    </row>
    <row r="23" hidden="1" outlineLevel="1">
      <c r="B23" t="inlineStr">
        <is>
          <t>Repair collected — Priya S.</t>
        </is>
      </c>
      <c r="D23" t="n">
        <v>270</v>
      </c>
    </row>
    <row r="24" hidden="1" outlineLevel="1">
      <c r="B24" t="inlineStr">
        <is>
          <t>Parts used — Priya S.</t>
        </is>
      </c>
      <c r="D24" t="n">
        <v>-25</v>
      </c>
    </row>
    <row r="25" hidden="1" outlineLevel="1">
      <c r="B25" t="inlineStr">
        <is>
          <t>Repair collected — Liam O.</t>
        </is>
      </c>
      <c r="D25" t="n">
        <v>300</v>
      </c>
    </row>
    <row r="26" hidden="1" outlineLevel="1">
      <c r="B26" t="inlineStr">
        <is>
          <t>Parts used — Liam O.</t>
        </is>
      </c>
      <c r="D26" t="n">
        <v>-95</v>
      </c>
    </row>
    <row r="27" hidden="1" outlineLevel="1">
      <c r="B27" t="inlineStr">
        <is>
          <t>Repair collected — Sofia M.</t>
        </is>
      </c>
      <c r="D27" t="n">
        <v>150</v>
      </c>
    </row>
    <row r="28" hidden="1" outlineLevel="1">
      <c r="B28" t="inlineStr">
        <is>
          <t>Repair collected — Jamal W.</t>
        </is>
      </c>
      <c r="D28" t="n">
        <v>360</v>
      </c>
    </row>
    <row r="29" hidden="1" outlineLevel="1">
      <c r="B29" t="inlineStr">
        <is>
          <t>Parts used — Jamal W.</t>
        </is>
      </c>
      <c r="D29" t="n">
        <v>-60</v>
      </c>
    </row>
    <row r="30" hidden="1" outlineLevel="1">
      <c r="B30" t="inlineStr">
        <is>
          <t>Repair collected — Erin K.</t>
        </is>
      </c>
      <c r="D30" t="n">
        <v>225</v>
      </c>
    </row>
    <row r="31" hidden="1" outlineLevel="1">
      <c r="B31" t="inlineStr">
        <is>
          <t>Parts used — Erin K.</t>
        </is>
      </c>
      <c r="D31" t="n">
        <v>-40</v>
      </c>
    </row>
    <row r="32" hidden="1" outlineLevel="1">
      <c r="B32" t="inlineStr">
        <is>
          <t>Repair collected — Noah B.</t>
        </is>
      </c>
      <c r="D32" t="n">
        <v>210</v>
      </c>
    </row>
    <row r="33" hidden="1" outlineLevel="1">
      <c r="B33" t="inlineStr">
        <is>
          <t>Parts used — Noah B.</t>
        </is>
      </c>
      <c r="D33" t="n">
        <v>-65</v>
      </c>
    </row>
    <row r="34" hidden="1" outlineLevel="1">
      <c r="B34" t="inlineStr">
        <is>
          <t>Rent used — June</t>
        </is>
      </c>
      <c r="D34" t="n">
        <v>-650</v>
      </c>
    </row>
    <row r="35" hidden="1" outlineLevel="1">
      <c r="B35" t="inlineStr">
        <is>
          <t>Rent used — July</t>
        </is>
      </c>
      <c r="D35" t="n">
        <v>-650</v>
      </c>
    </row>
    <row r="36" hidden="1" outlineLevel="1">
      <c r="B36" t="inlineStr">
        <is>
          <t>Repair collected — Grace L.</t>
        </is>
      </c>
      <c r="D36" t="n">
        <v>240</v>
      </c>
    </row>
    <row r="37" hidden="1" outlineLevel="1">
      <c r="B37" t="inlineStr">
        <is>
          <t>Parts used — Grace L.</t>
        </is>
      </c>
      <c r="D37" t="n">
        <v>-35</v>
      </c>
    </row>
    <row r="38" hidden="1" outlineLevel="1">
      <c r="B38" t="inlineStr">
        <is>
          <t>Repair collected — Theo H.</t>
        </is>
      </c>
      <c r="D38" t="n">
        <v>240</v>
      </c>
    </row>
    <row r="39" hidden="1" outlineLevel="1">
      <c r="B39" t="inlineStr">
        <is>
          <t>Parts used — Theo H.</t>
        </is>
      </c>
      <c r="D39" t="n">
        <v>-25</v>
      </c>
    </row>
    <row r="40" hidden="1" outlineLevel="1">
      <c r="B40" t="inlineStr">
        <is>
          <t>Repair collected — Maya P.</t>
        </is>
      </c>
      <c r="D40" t="n">
        <v>450</v>
      </c>
    </row>
    <row r="41" hidden="1" outlineLevel="1">
      <c r="B41" t="inlineStr">
        <is>
          <t>Parts used — Maya P.</t>
        </is>
      </c>
      <c r="D41" t="n">
        <v>-125</v>
      </c>
    </row>
    <row r="42" hidden="1" outlineLevel="1">
      <c r="B42" t="inlineStr">
        <is>
          <t>Repair collected — Owen C.</t>
        </is>
      </c>
      <c r="D42" t="n">
        <v>360</v>
      </c>
    </row>
    <row r="43" hidden="1" outlineLevel="1">
      <c r="B43" t="inlineStr">
        <is>
          <t>Parts used — Owen C.</t>
        </is>
      </c>
      <c r="D43" t="n">
        <v>-55</v>
      </c>
    </row>
    <row r="44" hidden="1" outlineLevel="1">
      <c r="B44" t="inlineStr">
        <is>
          <t>Repair collected — Ava D.</t>
        </is>
      </c>
      <c r="D44" t="n">
        <v>270</v>
      </c>
    </row>
    <row r="45" hidden="1" outlineLevel="1">
      <c r="B45" t="inlineStr">
        <is>
          <t>Parts used — Ava D.</t>
        </is>
      </c>
      <c r="D45" t="n">
        <v>-45</v>
      </c>
    </row>
    <row r="46" hidden="1" outlineLevel="1">
      <c r="B46" t="inlineStr">
        <is>
          <t>Repair collected — Leo F.</t>
        </is>
      </c>
      <c r="D46" t="n">
        <v>240</v>
      </c>
    </row>
    <row r="47" hidden="1" outlineLevel="1">
      <c r="B47" t="inlineStr">
        <is>
          <t>Parts used — Leo F.</t>
        </is>
      </c>
      <c r="D47" t="n">
        <v>-100</v>
      </c>
    </row>
    <row r="48" hidden="1" outlineLevel="1">
      <c r="B48" t="inlineStr">
        <is>
          <t>Repair collected — Nina V.</t>
        </is>
      </c>
      <c r="D48" t="n">
        <v>300</v>
      </c>
    </row>
    <row r="49" hidden="1" outlineLevel="1">
      <c r="B49" t="inlineStr">
        <is>
          <t>Parts used — Nina V.</t>
        </is>
      </c>
      <c r="D49" t="n">
        <v>-80</v>
      </c>
    </row>
    <row r="50" hidden="1" outlineLevel="1">
      <c r="B50" t="inlineStr">
        <is>
          <t>Rent used — August</t>
        </is>
      </c>
      <c r="D50" t="n">
        <v>-650</v>
      </c>
    </row>
    <row r="51" hidden="1" outlineLevel="1">
      <c r="B51" t="inlineStr">
        <is>
          <t>Repair collected — Caleb G.</t>
        </is>
      </c>
      <c r="D51" t="n">
        <v>240</v>
      </c>
    </row>
    <row r="52" hidden="1" outlineLevel="1">
      <c r="B52" t="inlineStr">
        <is>
          <t>Parts used — Caleb G.</t>
        </is>
      </c>
      <c r="D52" t="n">
        <v>-25</v>
      </c>
    </row>
    <row r="53" hidden="1" outlineLevel="1">
      <c r="B53" t="inlineStr">
        <is>
          <t>Repair collected — Ruth A.</t>
        </is>
      </c>
      <c r="D53" t="n">
        <v>485</v>
      </c>
    </row>
    <row r="54" hidden="1" outlineLevel="1">
      <c r="B54" t="inlineStr">
        <is>
          <t>Parts used — Ruth A.</t>
        </is>
      </c>
      <c r="D54" t="n">
        <v>-129</v>
      </c>
    </row>
    <row r="55" hidden="1" outlineLevel="1">
      <c r="B55" t="inlineStr">
        <is>
          <t>Repair collected — Sam Q.</t>
        </is>
      </c>
      <c r="D55" t="n">
        <v>390</v>
      </c>
    </row>
    <row r="56" hidden="1" outlineLevel="1">
      <c r="B56" t="inlineStr">
        <is>
          <t>Parts used — Sam Q.</t>
        </is>
      </c>
      <c r="D56" t="n">
        <v>-70</v>
      </c>
    </row>
    <row r="57" hidden="1" outlineLevel="1">
      <c r="B57" t="inlineStr">
        <is>
          <t>Repair collected — Westville Bike Share</t>
        </is>
      </c>
      <c r="D57" t="n">
        <v>500</v>
      </c>
    </row>
    <row r="58" hidden="1" outlineLevel="1">
      <c r="B58" t="inlineStr">
        <is>
          <t>Parts used — Westville Bike Share</t>
        </is>
      </c>
      <c r="D58" t="n">
        <v>-105</v>
      </c>
    </row>
    <row r="59" hidden="1" outlineLevel="1">
      <c r="B59" t="inlineStr">
        <is>
          <t>Repair delivered — Ridgeline Trail Crew, billed net 15 (unpaid)</t>
        </is>
      </c>
      <c r="D59" t="n">
        <v>300</v>
      </c>
    </row>
    <row r="60" hidden="1" outlineLevel="1">
      <c r="B60" t="inlineStr">
        <is>
          <t>Parts used — Ridgeline Trail Crew</t>
        </is>
      </c>
      <c r="D60" t="n">
        <v>-75</v>
      </c>
    </row>
    <row r="61" hidden="1" outlineLevel="1">
      <c r="B61" t="inlineStr">
        <is>
          <t>Frame delivered — J. Smith (deposit earned)</t>
        </is>
      </c>
      <c r="D61" t="n">
        <v>220</v>
      </c>
    </row>
    <row r="62" hidden="1" outlineLevel="1">
      <c r="B62" t="inlineStr">
        <is>
          <t>Parts used — J. Smith</t>
        </is>
      </c>
      <c r="D62" t="n">
        <v>-36</v>
      </c>
    </row>
    <row r="63" hidden="1" outlineLevel="1">
      <c r="B63" t="inlineStr">
        <is>
          <t>Depreciation — tools &amp; repair equipment, Summer 2026</t>
        </is>
      </c>
      <c r="D63" t="n">
        <v>-160</v>
      </c>
    </row>
    <row r="64" hidden="1" outlineLevel="1">
      <c r="B64" t="inlineStr">
        <is>
          <t>Depreciation — fixtures, Summer 2026</t>
        </is>
      </c>
      <c r="D64" t="n">
        <v>-40</v>
      </c>
    </row>
    <row r="65" hidden="1" outlineLevel="1">
      <c r="B65" t="inlineStr">
        <is>
          <t>Depreciation — laptop, Summer 2026</t>
        </is>
      </c>
      <c r="D65" t="n">
        <v>-30</v>
      </c>
    </row>
    <row r="66" collapsed="1">
      <c r="B66" t="inlineStr">
        <is>
          <t>Balance, August 31, 2026</t>
        </is>
      </c>
      <c r="D66">
        <f>D19+SUM(D20:D65)</f>
        <v>2640</v>
        <v/>
      </c>
    </row>
    <row r="67"/>
    <row r="68">
      <c r="B68" t="inlineStr">
        <is>
          <t>WITHDRAWN</t>
        </is>
      </c>
    </row>
    <row r="69" hidden="1" outlineLevel="1">
      <c r="B69" t="inlineStr">
        <is>
          <t>Owner's draw — money taken out for personal use</t>
        </is>
      </c>
      <c r="D69" t="n">
        <v>-600</v>
      </c>
    </row>
    <row r="70" collapsed="1">
      <c r="B70" t="inlineStr">
        <is>
          <t>Balance, August 31, 2026</t>
        </is>
      </c>
      <c r="D70">
        <f>SUM(D69:D69)</f>
        <v>-600</v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2026-07-24T21:55:38Z</dcterms:modified>
  <cp:lastModifiedBy>Antle, Rick</cp:lastModifiedBy>
</cp:coreProperties>
</file>