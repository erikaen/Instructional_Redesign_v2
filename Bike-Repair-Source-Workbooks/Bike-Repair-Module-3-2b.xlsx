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140" yWindow="5780" windowWidth="25820" windowHeight="27720" tabRatio="600" firstSheet="0" activeTab="2" autoFilterDateGrouping="1"/>
  </bookViews>
  <sheets>
    <sheet name="Assets" sheetId="1" state="visible" r:id="rId1"/>
    <sheet name="Liabilities" sheetId="2" state="visible" r:id="rId2"/>
    <sheet name="Reasons" sheetId="3" state="visible" r:id="rId3"/>
    <sheet name="Balance Shee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;\(\$#,##0\)"/>
    <numFmt numFmtId="165" formatCode="_(&quot;$&quot;* #,##0_);_(&quot;$&quot;* \(#,##0\);_(&quot;$&quot;* &quot;-&quot;??_);_(@_)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b val="1"/>
      <sz val="11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/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indent="2"/>
    </xf>
    <xf numFmtId="164" fontId="0" fillId="0" borderId="0" pivotButton="0" quotePrefix="0" xfId="0"/>
    <xf numFmtId="164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1"/>
    </xf>
    <xf numFmtId="0" fontId="2" fillId="3" borderId="0" pivotButton="0" quotePrefix="0" xfId="0"/>
    <xf numFmtId="0" fontId="2" fillId="4" borderId="0" pivotButton="0" quotePrefix="0" xfId="0"/>
    <xf numFmtId="0" fontId="0" fillId="2" borderId="0" pivotButton="0" quotePrefix="0" xfId="0"/>
    <xf numFmtId="0" fontId="2" fillId="0" borderId="1" applyAlignment="1" pivotButton="0" quotePrefix="0" xfId="0">
      <alignment horizontal="center"/>
    </xf>
    <xf numFmtId="164" fontId="2" fillId="4" borderId="2" pivotButton="0" quotePrefix="0" xfId="0"/>
    <xf numFmtId="0" fontId="0" fillId="3" borderId="0" pivotButton="0" quotePrefix="0" xfId="0"/>
    <xf numFmtId="164" fontId="0" fillId="0" borderId="1" pivotButton="0" quotePrefix="0" xfId="0"/>
    <xf numFmtId="0" fontId="3" fillId="4" borderId="2" applyAlignment="1" pivotButton="0" quotePrefix="0" xfId="0">
      <alignment horizontal="left" indent="1"/>
    </xf>
    <xf numFmtId="0" fontId="0" fillId="4" borderId="2" pivotButton="0" quotePrefix="0" xfId="0"/>
    <xf numFmtId="165" fontId="0" fillId="0" borderId="0" pivotButton="0" quotePrefix="0" xfId="0"/>
    <xf numFmtId="41" fontId="0" fillId="0" borderId="0" pivotButton="0" quotePrefix="0" xfId="0"/>
    <xf numFmtId="165" fontId="2" fillId="4" borderId="2" pivotButton="0" quotePrefix="0" xfId="0"/>
    <xf numFmtId="0" fontId="0" fillId="4" borderId="3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563EB"/>
    <outlinePr summaryBelow="1" summaryRight="1"/>
    <pageSetUpPr/>
  </sheetPr>
  <dimension ref="A1:D100"/>
  <sheetViews>
    <sheetView topLeftCell="A44" zoomScale="214" zoomScaleNormal="214" workbookViewId="0">
      <selection activeCell="F53" sqref="F53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Assets</t>
        </is>
      </c>
    </row>
    <row r="2">
      <c r="B2" s="6" t="inlineStr">
        <is>
          <t>Cash</t>
        </is>
      </c>
      <c r="C2" s="11" t="n"/>
      <c r="D2" s="11" t="n"/>
    </row>
    <row r="3" hidden="1" outlineLevel="1">
      <c r="B3" s="3" t="inlineStr">
        <is>
          <t>additional contribution (Section 10)</t>
        </is>
      </c>
      <c r="D3" s="4" t="n">
        <v>1300</v>
      </c>
    </row>
    <row r="4" collapsed="1">
      <c r="B4" s="16" t="inlineStr">
        <is>
          <t>Balance, June 1, 2026</t>
        </is>
      </c>
      <c r="C4" s="17" t="n"/>
      <c r="D4" s="13">
        <f>SUM(D3:D3)</f>
        <v>1300</v>
      </c>
    </row>
    <row r="5" hidden="1" outlineLevel="1">
      <c r="B5" s="7" t="inlineStr">
        <is>
          <t>Repair collected — Dana R.</t>
        </is>
      </c>
      <c r="D5" s="4" t="n">
        <v>120</v>
      </c>
    </row>
    <row r="6" hidden="1" outlineLevel="1">
      <c r="B6" s="7" t="inlineStr">
        <is>
          <t>Repair collected — Marcus T.</t>
        </is>
      </c>
      <c r="D6" s="4" t="n">
        <v>150</v>
      </c>
    </row>
    <row r="7" hidden="1" outlineLevel="1">
      <c r="B7" s="7" t="inlineStr">
        <is>
          <t>Repair collected — Priya S.</t>
        </is>
      </c>
      <c r="D7" s="4" t="n">
        <v>270</v>
      </c>
    </row>
    <row r="8" hidden="1" outlineLevel="1">
      <c r="B8" s="7" t="inlineStr">
        <is>
          <t>Repair collected — Liam O.</t>
        </is>
      </c>
      <c r="D8" s="4" t="n">
        <v>300</v>
      </c>
    </row>
    <row r="9" hidden="1" outlineLevel="1">
      <c r="B9" s="7" t="inlineStr">
        <is>
          <t>Repair collected — Sofia M.</t>
        </is>
      </c>
      <c r="D9" s="4" t="n">
        <v>150</v>
      </c>
    </row>
    <row r="10" hidden="1" outlineLevel="1">
      <c r="B10" s="7" t="inlineStr">
        <is>
          <t>Repair collected — Jamal W.</t>
        </is>
      </c>
      <c r="D10" s="4" t="n">
        <v>360</v>
      </c>
    </row>
    <row r="11" hidden="1" outlineLevel="1">
      <c r="B11" s="7" t="inlineStr">
        <is>
          <t>Repair collected — Erin K.</t>
        </is>
      </c>
      <c r="D11" s="4" t="n">
        <v>225</v>
      </c>
    </row>
    <row r="12" hidden="1" outlineLevel="1">
      <c r="B12" s="7" t="inlineStr">
        <is>
          <t>Repair collected — Noah B.</t>
        </is>
      </c>
      <c r="D12" s="4" t="n">
        <v>210</v>
      </c>
    </row>
    <row r="13" hidden="1" outlineLevel="1">
      <c r="B13" s="7" t="inlineStr">
        <is>
          <t>Repair collected — Grace L.</t>
        </is>
      </c>
      <c r="D13" s="4" t="n">
        <v>240</v>
      </c>
    </row>
    <row r="14" hidden="1" outlineLevel="1">
      <c r="B14" s="7" t="inlineStr">
        <is>
          <t>Repair collected — Theo H.</t>
        </is>
      </c>
      <c r="D14" s="4" t="n">
        <v>240</v>
      </c>
    </row>
    <row r="15" hidden="1" outlineLevel="1">
      <c r="B15" s="7" t="inlineStr">
        <is>
          <t>Repair collected — Maya P.</t>
        </is>
      </c>
      <c r="C15" s="17" t="n"/>
      <c r="D15" s="4" t="n">
        <v>450</v>
      </c>
    </row>
    <row r="16" hidden="1" outlineLevel="1">
      <c r="B16" s="7" t="inlineStr">
        <is>
          <t>Repair collected — Owen C.</t>
        </is>
      </c>
      <c r="D16" s="4" t="n">
        <v>360</v>
      </c>
    </row>
    <row r="17" hidden="1" outlineLevel="1">
      <c r="B17" s="7" t="inlineStr">
        <is>
          <t>Repair collected — Ava D.</t>
        </is>
      </c>
      <c r="D17" s="4" t="n">
        <v>270</v>
      </c>
    </row>
    <row r="18" hidden="1" outlineLevel="1">
      <c r="B18" s="7" t="inlineStr">
        <is>
          <t>Repair collected — Leo F.</t>
        </is>
      </c>
      <c r="D18" s="4" t="n">
        <v>240</v>
      </c>
    </row>
    <row r="19" hidden="1" outlineLevel="1">
      <c r="B19" s="7" t="inlineStr">
        <is>
          <t>Repair collected — Nina V.</t>
        </is>
      </c>
      <c r="D19" s="4" t="n">
        <v>300</v>
      </c>
    </row>
    <row r="20" hidden="1" outlineLevel="1">
      <c r="B20" s="7" t="inlineStr">
        <is>
          <t>Repair collected — Caleb G.</t>
        </is>
      </c>
      <c r="D20" s="4" t="n">
        <v>240</v>
      </c>
    </row>
    <row r="21" hidden="1" outlineLevel="1">
      <c r="B21" s="7" t="inlineStr">
        <is>
          <t>Repair collected — Ruth A.</t>
        </is>
      </c>
      <c r="D21" s="4" t="n">
        <v>485</v>
      </c>
    </row>
    <row r="22" hidden="1" outlineLevel="1">
      <c r="B22" s="7" t="inlineStr">
        <is>
          <t>Repair collected — Sam Q.</t>
        </is>
      </c>
      <c r="D22" s="4" t="n">
        <v>390</v>
      </c>
    </row>
    <row r="23" hidden="1" outlineLevel="1">
      <c r="B23" s="7" t="inlineStr">
        <is>
          <t>Repair collected — Westville Bike Share</t>
        </is>
      </c>
      <c r="D23" s="4" t="n">
        <v>500</v>
      </c>
    </row>
    <row r="24" hidden="1" outlineLevel="1">
      <c r="B24" s="7" t="inlineStr">
        <is>
          <t>Parts bought — June</t>
        </is>
      </c>
      <c r="D24" s="4" t="n">
        <v>-500</v>
      </c>
    </row>
    <row r="25" hidden="1" outlineLevel="1">
      <c r="B25" s="7" t="inlineStr">
        <is>
          <t>Parts bought — July</t>
        </is>
      </c>
      <c r="D25" s="4" t="n">
        <v>-400</v>
      </c>
    </row>
    <row r="26" hidden="1" outlineLevel="1">
      <c r="B26" s="7" t="inlineStr">
        <is>
          <t>Parts bought — August</t>
        </is>
      </c>
      <c r="D26" s="4" t="n">
        <v>-300</v>
      </c>
    </row>
    <row r="27" hidden="1" outlineLevel="1">
      <c r="B27" s="7" t="inlineStr">
        <is>
          <t>Rent paid — June</t>
        </is>
      </c>
      <c r="D27" s="4" t="n">
        <v>-650</v>
      </c>
    </row>
    <row r="28" hidden="1" outlineLevel="1">
      <c r="B28" s="7" t="inlineStr">
        <is>
          <t>Rent paid — July</t>
        </is>
      </c>
      <c r="D28" s="4" t="n">
        <v>-650</v>
      </c>
    </row>
    <row r="29" hidden="1" outlineLevel="1">
      <c r="B29" s="7" t="inlineStr">
        <is>
          <t>Rent paid — August</t>
        </is>
      </c>
      <c r="D29" s="4" t="n">
        <v>-650</v>
      </c>
    </row>
    <row r="30" hidden="1" outlineLevel="1">
      <c r="B30" s="7" t="inlineStr">
        <is>
          <t>Wheel truing stand</t>
        </is>
      </c>
      <c r="D30" s="4" t="n">
        <v>-400</v>
      </c>
    </row>
    <row r="31" hidden="1" outlineLevel="1">
      <c r="B31" s="7" t="inlineStr">
        <is>
          <t>Credit card paid off</t>
        </is>
      </c>
      <c r="D31" s="4" t="n">
        <v>-2030</v>
      </c>
    </row>
    <row r="32" hidden="1" outlineLevel="1">
      <c r="B32" s="7" t="inlineStr">
        <is>
          <t>Money taken out for personal use</t>
        </is>
      </c>
      <c r="D32" s="4" t="n">
        <v>-600</v>
      </c>
    </row>
    <row r="33" collapsed="1">
      <c r="B33" s="16" t="inlineStr">
        <is>
          <t>Balance, August 31, 2026</t>
        </is>
      </c>
      <c r="C33" s="17" t="n"/>
      <c r="D33" s="13">
        <f>D4+SUM(D5:D32)</f>
        <v>620</v>
      </c>
    </row>
    <row r="34">
      <c r="B34" s="7" t="n"/>
      <c r="D34" s="4" t="n"/>
    </row>
    <row r="35">
      <c r="B35" s="6" t="inlineStr">
        <is>
          <t>Accounts Receivable</t>
        </is>
      </c>
      <c r="C35" s="11" t="n"/>
      <c r="D35" s="11" t="n"/>
    </row>
    <row r="36" outlineLevel="1">
      <c r="B36" s="3" t="inlineStr">
        <is>
          <t>Ridgeline Trail Crew — finished Aug 28, net 15 (unpaid)</t>
        </is>
      </c>
      <c r="D36" s="4" t="n">
        <v>300</v>
      </c>
    </row>
    <row r="37">
      <c r="B37" s="16" t="inlineStr">
        <is>
          <t>Balance, August 31, 2026</t>
        </is>
      </c>
      <c r="C37" s="17" t="n"/>
      <c r="D37" s="13">
        <f>SUM(D36:D36)</f>
        <v>300</v>
      </c>
    </row>
    <row r="38">
      <c r="B38" s="7" t="n"/>
      <c r="D38" s="4" t="n"/>
    </row>
    <row r="39">
      <c r="B39" s="6" t="inlineStr">
        <is>
          <t>Right of Use</t>
        </is>
      </c>
      <c r="C39" s="11" t="n"/>
      <c r="D39" s="11" t="n"/>
    </row>
    <row r="40" hidden="1" outlineLevel="1">
      <c r="B40" s="3" t="inlineStr">
        <is>
          <t>Company received at formation (June 1)</t>
        </is>
      </c>
      <c r="D40" s="4" t="n">
        <v>650</v>
      </c>
    </row>
    <row r="41" collapsed="1">
      <c r="B41" s="16" t="inlineStr">
        <is>
          <t>Balance, June 1, 2026</t>
        </is>
      </c>
      <c r="C41" s="17" t="n"/>
      <c r="D41" s="13">
        <f>SUM(D40:D40)</f>
        <v>650</v>
      </c>
    </row>
    <row r="42">
      <c r="B42" s="16" t="inlineStr">
        <is>
          <t>Balance, August 31, 2026</t>
        </is>
      </c>
      <c r="C42" s="17" t="n"/>
      <c r="D42" s="13">
        <f>D41</f>
        <v>650</v>
      </c>
    </row>
    <row r="43">
      <c r="B43" s="7" t="n"/>
      <c r="D43" s="4" t="n"/>
    </row>
    <row r="44">
      <c r="B44" s="6" t="inlineStr">
        <is>
          <t>Parts</t>
        </is>
      </c>
      <c r="C44" s="11" t="n"/>
      <c r="D44" s="11" t="n"/>
    </row>
    <row r="45" hidden="1" outlineLevel="1">
      <c r="B45" s="3" t="inlineStr">
        <is>
          <t>Company received at formation (June 1)</t>
        </is>
      </c>
      <c r="D45" s="4" t="n">
        <v>200</v>
      </c>
    </row>
    <row r="46" collapsed="1">
      <c r="B46" s="16" t="inlineStr">
        <is>
          <t>Balance, June 1, 2026</t>
        </is>
      </c>
      <c r="C46" s="17" t="n"/>
      <c r="D46" s="13">
        <f>SUM(D45:D45)</f>
        <v>200</v>
      </c>
    </row>
    <row r="47" hidden="1" outlineLevel="1">
      <c r="B47" s="3" t="inlineStr">
        <is>
          <t>Chains ×10 (June)</t>
        </is>
      </c>
      <c r="D47" s="4" t="n">
        <v>150</v>
      </c>
    </row>
    <row r="48" hidden="1" outlineLevel="1">
      <c r="B48" s="3" t="inlineStr">
        <is>
          <t>11-spd cassettes ×4 (June)</t>
        </is>
      </c>
      <c r="C48" s="17" t="n"/>
      <c r="D48" s="4" t="n">
        <v>160</v>
      </c>
    </row>
    <row r="49" hidden="1" outlineLevel="1">
      <c r="B49" s="3" t="inlineStr">
        <is>
          <t>Brake pad sets ×12 (June)</t>
        </is>
      </c>
      <c r="D49" s="4" t="n">
        <v>90</v>
      </c>
    </row>
    <row r="50" hidden="1" outlineLevel="1">
      <c r="B50" s="3" t="inlineStr">
        <is>
          <t>Cables + housing (assorted) (June)</t>
        </is>
      </c>
      <c r="C50" s="11" t="n"/>
      <c r="D50" s="4" t="n">
        <v>60</v>
      </c>
    </row>
    <row r="51" hidden="1" outlineLevel="1">
      <c r="B51" s="3" t="inlineStr">
        <is>
          <t>Tubes ×10 (June)</t>
        </is>
      </c>
      <c r="D51" s="4" t="n">
        <v>40</v>
      </c>
    </row>
    <row r="52" hidden="1" outlineLevel="1">
      <c r="B52" s="3" t="inlineStr">
        <is>
          <t>Chainrings + jockey wheels (July)</t>
        </is>
      </c>
      <c r="C52" s="17" t="n"/>
      <c r="D52" s="4" t="n">
        <v>120</v>
      </c>
    </row>
    <row r="53" hidden="1" outlineLevel="1">
      <c r="B53" s="3" t="inlineStr">
        <is>
          <t>Bottom brackets ×3 (July)</t>
        </is>
      </c>
      <c r="C53" s="17" t="n"/>
      <c r="D53" s="4" t="n">
        <v>105</v>
      </c>
    </row>
    <row r="54" hidden="1" outlineLevel="1">
      <c r="B54" s="3" t="inlineStr">
        <is>
          <t>Shift cables + housing (July)</t>
        </is>
      </c>
      <c r="D54" s="4" t="n">
        <v>75</v>
      </c>
    </row>
    <row r="55" hidden="1" outlineLevel="1">
      <c r="B55" s="3" t="inlineStr">
        <is>
          <t>Tubeless sealant + valves (July)</t>
        </is>
      </c>
      <c r="C55" s="11" t="n"/>
      <c r="D55" s="4" t="n">
        <v>60</v>
      </c>
    </row>
    <row r="56" hidden="1" outlineLevel="1">
      <c r="B56" s="3" t="inlineStr">
        <is>
          <t>Spokes + nipples (July)</t>
        </is>
      </c>
      <c r="D56" s="4" t="n">
        <v>40</v>
      </c>
    </row>
    <row r="57" hidden="1" outlineLevel="1">
      <c r="B57" s="3" t="inlineStr">
        <is>
          <t>Tires ×4 (August)</t>
        </is>
      </c>
      <c r="D57" s="4" t="n">
        <v>130</v>
      </c>
    </row>
    <row r="58" hidden="1" outlineLevel="1">
      <c r="B58" s="3" t="inlineStr">
        <is>
          <t>Brake pads (assorted) (August)</t>
        </is>
      </c>
      <c r="D58" s="4" t="n">
        <v>70</v>
      </c>
    </row>
    <row r="59" hidden="1" outlineLevel="1">
      <c r="B59" s="3" t="inlineStr">
        <is>
          <t>Cables + housing (August)</t>
        </is>
      </c>
      <c r="D59" s="4" t="n">
        <v>50</v>
      </c>
    </row>
    <row r="60" hidden="1" outlineLevel="1">
      <c r="B60" s="3" t="inlineStr">
        <is>
          <t>Tubes ×8 (August)</t>
        </is>
      </c>
      <c r="D60" s="4" t="n">
        <v>30</v>
      </c>
    </row>
    <row r="61" hidden="1" outlineLevel="1">
      <c r="B61" s="3" t="inlineStr">
        <is>
          <t>Small parts (bolts, tape) (August)</t>
        </is>
      </c>
      <c r="D61" s="4" t="n">
        <v>20</v>
      </c>
    </row>
    <row r="62" hidden="1" outlineLevel="1">
      <c r="B62" s="3" t="inlineStr">
        <is>
          <t>Parts used — Dana R.</t>
        </is>
      </c>
      <c r="D62" s="4" t="n">
        <v>-10</v>
      </c>
    </row>
    <row r="63" hidden="1" outlineLevel="1">
      <c r="B63" s="3" t="inlineStr">
        <is>
          <t>Parts used — Priya S.</t>
        </is>
      </c>
      <c r="C63" s="17" t="n"/>
      <c r="D63" s="4" t="n">
        <v>-25</v>
      </c>
    </row>
    <row r="64" hidden="1" outlineLevel="1">
      <c r="B64" s="3" t="inlineStr">
        <is>
          <t>Parts used — Liam O.</t>
        </is>
      </c>
      <c r="D64" s="4" t="n">
        <v>-95</v>
      </c>
    </row>
    <row r="65" hidden="1" outlineLevel="1">
      <c r="B65" s="3" t="inlineStr">
        <is>
          <t>Parts used — Jamal W.</t>
        </is>
      </c>
      <c r="D65" s="4" t="n">
        <v>-60</v>
      </c>
    </row>
    <row r="66" hidden="1" outlineLevel="1">
      <c r="B66" s="3" t="inlineStr">
        <is>
          <t>Parts used — Erin K.</t>
        </is>
      </c>
      <c r="D66" s="4" t="n">
        <v>-40</v>
      </c>
    </row>
    <row r="67" hidden="1" outlineLevel="1">
      <c r="B67" s="3" t="inlineStr">
        <is>
          <t>Parts used — Noah B.</t>
        </is>
      </c>
      <c r="D67" s="4" t="n">
        <v>-65</v>
      </c>
    </row>
    <row r="68" hidden="1" outlineLevel="1">
      <c r="B68" s="3" t="inlineStr">
        <is>
          <t>Parts used — Grace L.</t>
        </is>
      </c>
      <c r="D68" s="4" t="n">
        <v>-35</v>
      </c>
    </row>
    <row r="69" hidden="1" outlineLevel="1">
      <c r="B69" s="3" t="inlineStr">
        <is>
          <t>Parts used — Theo H.</t>
        </is>
      </c>
      <c r="D69" s="4" t="n">
        <v>-25</v>
      </c>
    </row>
    <row r="70" hidden="1" outlineLevel="1">
      <c r="B70" s="3" t="inlineStr">
        <is>
          <t>Parts used — Maya P.</t>
        </is>
      </c>
      <c r="D70" s="4" t="n">
        <v>-125</v>
      </c>
    </row>
    <row r="71" hidden="1" outlineLevel="1">
      <c r="B71" s="3" t="inlineStr">
        <is>
          <t>Parts used — Owen C.</t>
        </is>
      </c>
      <c r="D71" s="4" t="n">
        <v>-55</v>
      </c>
    </row>
    <row r="72" hidden="1" outlineLevel="1">
      <c r="B72" s="3" t="inlineStr">
        <is>
          <t>Parts used — Ava D.</t>
        </is>
      </c>
      <c r="D72" s="4" t="n">
        <v>-45</v>
      </c>
    </row>
    <row r="73" hidden="1" outlineLevel="1">
      <c r="B73" s="3" t="inlineStr">
        <is>
          <t>Parts used — Leo F.</t>
        </is>
      </c>
      <c r="D73" s="4" t="n">
        <v>-100</v>
      </c>
    </row>
    <row r="74" hidden="1" outlineLevel="1">
      <c r="B74" s="3" t="inlineStr">
        <is>
          <t>Parts used — Nina V.</t>
        </is>
      </c>
      <c r="D74" s="4" t="n">
        <v>-80</v>
      </c>
    </row>
    <row r="75" hidden="1" outlineLevel="1">
      <c r="B75" s="3" t="inlineStr">
        <is>
          <t>Parts used — Caleb G.</t>
        </is>
      </c>
      <c r="D75" s="4" t="n">
        <v>-25</v>
      </c>
    </row>
    <row r="76" hidden="1" outlineLevel="1">
      <c r="B76" s="3" t="inlineStr">
        <is>
          <t>Parts used — Ruth A.</t>
        </is>
      </c>
      <c r="D76" s="4" t="n">
        <v>-129</v>
      </c>
    </row>
    <row r="77" hidden="1" outlineLevel="1">
      <c r="B77" s="3" t="inlineStr">
        <is>
          <t>Parts used — Sam Q.</t>
        </is>
      </c>
      <c r="D77" s="4" t="n">
        <v>-70</v>
      </c>
    </row>
    <row r="78" hidden="1" outlineLevel="1">
      <c r="B78" s="3" t="inlineStr">
        <is>
          <t>Parts used — Westville Bike Share</t>
        </is>
      </c>
      <c r="D78" s="4" t="n">
        <v>-105</v>
      </c>
    </row>
    <row r="79" hidden="1" outlineLevel="1">
      <c r="B79" s="3" t="inlineStr">
        <is>
          <t>Parts used — Ridgeline Trail Crew</t>
        </is>
      </c>
      <c r="D79" s="4" t="n">
        <v>-75</v>
      </c>
    </row>
    <row r="80" hidden="1" outlineLevel="1">
      <c r="B80" s="3" t="inlineStr">
        <is>
          <t>Parts used — J. Smith</t>
        </is>
      </c>
      <c r="D80" s="4" t="n">
        <v>-36</v>
      </c>
    </row>
    <row r="81" collapsed="1">
      <c r="B81" s="16" t="inlineStr">
        <is>
          <t>Balance, August 31, 2026</t>
        </is>
      </c>
      <c r="C81" s="17" t="n"/>
      <c r="D81" s="13">
        <f>D46+SUM(D47:D80)</f>
        <v>200</v>
      </c>
    </row>
    <row r="82">
      <c r="B82" s="3" t="n"/>
      <c r="D82" s="4" t="n"/>
    </row>
    <row r="83">
      <c r="B83" s="6" t="inlineStr">
        <is>
          <t>Tools &amp; Repair Equipment</t>
        </is>
      </c>
      <c r="C83" s="11" t="n"/>
      <c r="D83" s="11" t="n"/>
    </row>
    <row r="84" hidden="1" outlineLevel="1">
      <c r="B84" s="3" t="inlineStr">
        <is>
          <t>Company received at formation (June 1)</t>
        </is>
      </c>
      <c r="D84" s="4" t="n">
        <v>1200</v>
      </c>
    </row>
    <row r="85" collapsed="1">
      <c r="B85" s="16" t="inlineStr">
        <is>
          <t>Balance, June 1, 2026</t>
        </is>
      </c>
      <c r="C85" s="17" t="n"/>
      <c r="D85" s="13">
        <f>SUM(D84:D84)</f>
        <v>1200</v>
      </c>
    </row>
    <row r="86" hidden="1" outlineLevel="1">
      <c r="B86" s="3" t="inlineStr">
        <is>
          <t>Wheel truing stand bought this season</t>
        </is>
      </c>
      <c r="D86" s="4" t="n">
        <v>400</v>
      </c>
    </row>
    <row r="87" hidden="1" outlineLevel="1">
      <c r="B87" s="3" t="inlineStr">
        <is>
          <t>Depreciation — Summer 2026 (the season's share of the cost)</t>
        </is>
      </c>
      <c r="D87" s="4" t="n">
        <v>-160</v>
      </c>
    </row>
    <row r="88" collapsed="1">
      <c r="B88" s="16" t="inlineStr">
        <is>
          <t>Balance, August 31, 2026</t>
        </is>
      </c>
      <c r="C88" s="17" t="n"/>
      <c r="D88" s="13">
        <f>D85+SUM(D86:D87)</f>
        <v>1440</v>
      </c>
    </row>
    <row r="89">
      <c r="B89" s="3" t="n"/>
      <c r="D89" s="4" t="n"/>
    </row>
    <row r="90">
      <c r="B90" s="6" t="inlineStr">
        <is>
          <t>Fixtures</t>
        </is>
      </c>
      <c r="C90" s="11" t="n"/>
      <c r="D90" s="11" t="n"/>
    </row>
    <row r="91" hidden="1" outlineLevel="1">
      <c r="B91" s="3" t="inlineStr">
        <is>
          <t>Company received at formation (June 1)</t>
        </is>
      </c>
      <c r="D91" s="4" t="n">
        <v>750</v>
      </c>
    </row>
    <row r="92" collapsed="1">
      <c r="B92" s="16" t="inlineStr">
        <is>
          <t>Balance, June 1, 2026</t>
        </is>
      </c>
      <c r="C92" s="17" t="n"/>
      <c r="D92" s="13">
        <f>SUM(D91:D91)</f>
        <v>750</v>
      </c>
    </row>
    <row r="93" hidden="1" outlineLevel="1">
      <c r="B93" s="3" t="inlineStr">
        <is>
          <t>Depreciation — Summer 2026 (the season's share of the cost)</t>
        </is>
      </c>
      <c r="D93" s="4" t="n">
        <v>-40</v>
      </c>
    </row>
    <row r="94" collapsed="1">
      <c r="B94" s="16" t="inlineStr">
        <is>
          <t>Balance, August 31, 2026</t>
        </is>
      </c>
      <c r="C94" s="17" t="n"/>
      <c r="D94" s="13">
        <f>D92+SUM(D93:D93)</f>
        <v>710</v>
      </c>
    </row>
    <row r="95">
      <c r="B95" s="3" t="n"/>
      <c r="D95" s="4" t="n"/>
    </row>
    <row r="96">
      <c r="B96" s="6" t="inlineStr">
        <is>
          <t>Laptop</t>
        </is>
      </c>
      <c r="C96" s="11" t="n"/>
      <c r="D96" s="11" t="n"/>
    </row>
    <row r="97" hidden="1" outlineLevel="1">
      <c r="B97" s="3" t="inlineStr">
        <is>
          <t>Company received at formation (June 1)</t>
        </is>
      </c>
      <c r="D97" s="4" t="n">
        <v>610</v>
      </c>
    </row>
    <row r="98" collapsed="1">
      <c r="B98" s="16" t="inlineStr">
        <is>
          <t>Balance, June 1, 2026</t>
        </is>
      </c>
      <c r="C98" s="17" t="n"/>
      <c r="D98" s="13">
        <f>SUM(D97:D97)</f>
        <v>610</v>
      </c>
    </row>
    <row r="99" hidden="1" outlineLevel="1">
      <c r="B99" s="3" t="inlineStr">
        <is>
          <t>Depreciation — Summer 2026 (the season's share of the cost)</t>
        </is>
      </c>
      <c r="D99" s="4" t="n">
        <v>-30</v>
      </c>
    </row>
    <row r="100" collapsed="1">
      <c r="B100" s="16" t="inlineStr">
        <is>
          <t>Balance, August 31, 2026</t>
        </is>
      </c>
      <c r="C100" s="17" t="n"/>
      <c r="D100" s="13">
        <f>D98+SUM(D99:D99)</f>
        <v>580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563EB"/>
    <outlinePr summaryBelow="1" summaryRight="1"/>
    <pageSetUpPr/>
  </sheetPr>
  <dimension ref="A1:D12"/>
  <sheetViews>
    <sheetView zoomScale="277" zoomScaleNormal="277" workbookViewId="0">
      <selection activeCell="B28" sqref="B28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Liabilities</t>
        </is>
      </c>
    </row>
    <row r="2">
      <c r="B2" s="6" t="inlineStr">
        <is>
          <t>Credit Card</t>
        </is>
      </c>
      <c r="C2" s="11" t="n"/>
      <c r="D2" s="11" t="n"/>
    </row>
    <row r="3" hidden="1" outlineLevel="1">
      <c r="B3" s="3" t="inlineStr">
        <is>
          <t>Company assumed the claim at formation (June 1)</t>
        </is>
      </c>
      <c r="D3" s="4" t="n">
        <v>2030</v>
      </c>
    </row>
    <row r="4" collapsed="1">
      <c r="B4" s="16" t="inlineStr">
        <is>
          <t>Balance, June 1, 2026</t>
        </is>
      </c>
      <c r="C4" s="17" t="n"/>
      <c r="D4" s="13">
        <f>SUM(D3:D3)</f>
        <v>2030</v>
      </c>
    </row>
    <row r="5" hidden="1" outlineLevel="1">
      <c r="B5" s="3" t="inlineStr">
        <is>
          <t>Paid off in full this season</t>
        </is>
      </c>
      <c r="D5" s="4" t="n">
        <v>-2030</v>
      </c>
    </row>
    <row r="6" collapsed="1">
      <c r="B6" s="16" t="inlineStr">
        <is>
          <t>Balance, August 31, 2026</t>
        </is>
      </c>
      <c r="C6" s="17" t="n"/>
      <c r="D6" s="13">
        <f>D4+SUM(D5:D5)</f>
        <v>0</v>
      </c>
    </row>
    <row r="7">
      <c r="B7" s="3" t="n"/>
      <c r="D7" s="4" t="n"/>
    </row>
    <row r="8">
      <c r="B8" s="6" t="inlineStr">
        <is>
          <t>Customer Deposit</t>
        </is>
      </c>
      <c r="C8" s="11" t="n"/>
      <c r="D8" s="11" t="n"/>
    </row>
    <row r="9" hidden="1" outlineLevel="1">
      <c r="B9" s="3" t="inlineStr">
        <is>
          <t>Company assumed the claim at formation (June 1)</t>
        </is>
      </c>
      <c r="C9" s="17" t="n"/>
      <c r="D9" s="4" t="n">
        <v>220</v>
      </c>
    </row>
    <row r="10" collapsed="1">
      <c r="B10" s="16" t="inlineStr">
        <is>
          <t>Balance, June 1, 2026</t>
        </is>
      </c>
      <c r="C10" s="17" t="n"/>
      <c r="D10" s="13">
        <f>SUM(D9:D9)</f>
        <v>220</v>
      </c>
    </row>
    <row r="11" hidden="1" outlineLevel="1">
      <c r="B11" s="3" t="inlineStr">
        <is>
          <t>Built and delivered Smith's frame — no longer owed</t>
        </is>
      </c>
      <c r="C11" s="17" t="n"/>
      <c r="D11" s="4" t="n">
        <v>-220</v>
      </c>
    </row>
    <row r="12" collapsed="1">
      <c r="B12" s="16" t="inlineStr">
        <is>
          <t>Balance, August 31, 2026</t>
        </is>
      </c>
      <c r="C12" s="17" t="n"/>
      <c r="D12" s="13">
        <f>D10+SUM(D11:D11)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D67"/>
  <sheetViews>
    <sheetView tabSelected="1" topLeftCell="A41" zoomScale="258" zoomScaleNormal="258" workbookViewId="0">
      <selection activeCell="B60" sqref="B60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Reasons — Member's Capital</t>
        </is>
      </c>
    </row>
    <row r="2">
      <c r="B2" s="6" t="inlineStr">
        <is>
          <t>CONTRIBUTED</t>
        </is>
      </c>
      <c r="C2" s="11" t="n"/>
      <c r="D2" s="11" t="n"/>
    </row>
    <row r="3" hidden="1" outlineLevel="1">
      <c r="B3" s="3" t="inlineStr">
        <is>
          <t>Cash — additional contribution (Section 10)</t>
        </is>
      </c>
      <c r="D3" s="4" t="n">
        <v>1300</v>
      </c>
    </row>
    <row r="4" hidden="1" outlineLevel="1">
      <c r="B4" s="3" t="inlineStr">
        <is>
          <t>Right of Use — Company received at formation (June 1)</t>
        </is>
      </c>
      <c r="D4" s="4" t="n">
        <v>650</v>
      </c>
    </row>
    <row r="5" hidden="1" outlineLevel="1">
      <c r="B5" s="3" t="inlineStr">
        <is>
          <t>Parts — Company received at formation (June 1)</t>
        </is>
      </c>
      <c r="D5" s="4" t="n">
        <v>200</v>
      </c>
    </row>
    <row r="6" hidden="1" outlineLevel="1">
      <c r="B6" s="3" t="inlineStr">
        <is>
          <t>Tools &amp; Repair Equipment — Company received at formation (June 1)</t>
        </is>
      </c>
      <c r="D6" s="4" t="n">
        <v>1200</v>
      </c>
    </row>
    <row r="7" hidden="1" outlineLevel="1">
      <c r="B7" s="3" t="inlineStr">
        <is>
          <t>Fixtures — Company received at formation (June 1)</t>
        </is>
      </c>
      <c r="C7" s="22" t="n"/>
      <c r="D7" s="4" t="n">
        <v>750</v>
      </c>
    </row>
    <row r="8" hidden="1" outlineLevel="1">
      <c r="B8" s="3" t="inlineStr">
        <is>
          <t>Laptop — Company received at formation (June 1)</t>
        </is>
      </c>
      <c r="C8" s="22" t="n"/>
      <c r="D8" s="4" t="n">
        <v>610</v>
      </c>
    </row>
    <row r="9" hidden="1" outlineLevel="1">
      <c r="B9" s="3" t="inlineStr">
        <is>
          <t>Credit Card — Company assumed the claim at formation (June 1)</t>
        </is>
      </c>
      <c r="D9" s="4" t="n">
        <v>-2030</v>
      </c>
    </row>
    <row r="10" hidden="1" outlineLevel="1">
      <c r="B10" s="3" t="inlineStr">
        <is>
          <t>Customer Deposit — Company assumed the claim at formation (June 1)</t>
        </is>
      </c>
      <c r="C10" s="11" t="n"/>
      <c r="D10" s="4" t="n">
        <v>-220</v>
      </c>
    </row>
    <row r="11" collapsed="1">
      <c r="B11" s="16" t="inlineStr">
        <is>
          <t>Balance, June 1, 2026</t>
        </is>
      </c>
      <c r="C11" s="17" t="n"/>
      <c r="D11" s="13">
        <f>SUM(D3:D10)</f>
        <v>2460</v>
      </c>
    </row>
    <row r="12">
      <c r="B12" s="16" t="inlineStr">
        <is>
          <t>Balance, August 31, 2026</t>
        </is>
      </c>
      <c r="C12" s="17" t="n"/>
      <c r="D12" s="13">
        <f>D11</f>
        <v>2460</v>
      </c>
    </row>
    <row r="13">
      <c r="B13" s="3" t="n"/>
      <c r="D13" s="4" t="n"/>
    </row>
    <row r="14">
      <c r="B14" s="6" t="inlineStr">
        <is>
          <t>GENERATED</t>
        </is>
      </c>
      <c r="C14" s="11" t="n"/>
      <c r="D14" s="11" t="n"/>
    </row>
    <row r="15">
      <c r="B15" s="16" t="inlineStr">
        <is>
          <t>Balance, June 1, 2026</t>
        </is>
      </c>
      <c r="C15" s="17" t="n"/>
      <c r="D15" s="13" t="n">
        <v>0</v>
      </c>
    </row>
    <row r="16" hidden="1" outlineLevel="1">
      <c r="B16" s="3" t="inlineStr">
        <is>
          <t>Repair collected — Dana R.</t>
        </is>
      </c>
      <c r="D16" s="4" t="n">
        <v>120</v>
      </c>
    </row>
    <row r="17" hidden="1" outlineLevel="1">
      <c r="B17" s="3" t="inlineStr">
        <is>
          <t>Parts used — Dana R.</t>
        </is>
      </c>
      <c r="D17" s="4" t="n">
        <v>-10</v>
      </c>
    </row>
    <row r="18" hidden="1" outlineLevel="1">
      <c r="B18" s="3" t="inlineStr">
        <is>
          <t>Repair collected — Marcus T.</t>
        </is>
      </c>
      <c r="D18" s="4" t="n">
        <v>150</v>
      </c>
    </row>
    <row r="19" hidden="1" outlineLevel="1">
      <c r="B19" s="3" t="inlineStr">
        <is>
          <t>Repair collected — Priya S.</t>
        </is>
      </c>
      <c r="D19" s="4" t="n">
        <v>270</v>
      </c>
    </row>
    <row r="20" hidden="1" outlineLevel="1">
      <c r="B20" s="3" t="inlineStr">
        <is>
          <t>Parts used — Priya S.</t>
        </is>
      </c>
      <c r="C20" s="22" t="n"/>
      <c r="D20" s="4" t="n">
        <v>-25</v>
      </c>
    </row>
    <row r="21" hidden="1" outlineLevel="1">
      <c r="B21" s="3" t="inlineStr">
        <is>
          <t>Repair collected — Liam O.</t>
        </is>
      </c>
      <c r="D21" s="4" t="n">
        <v>300</v>
      </c>
    </row>
    <row r="22" hidden="1" outlineLevel="1">
      <c r="B22" s="3" t="inlineStr">
        <is>
          <t>Parts used — Liam O.</t>
        </is>
      </c>
      <c r="D22" s="4" t="n">
        <v>-95</v>
      </c>
    </row>
    <row r="23" hidden="1" outlineLevel="1">
      <c r="B23" s="3" t="inlineStr">
        <is>
          <t>Repair collected — Sofia M.</t>
        </is>
      </c>
      <c r="D23" s="4" t="n">
        <v>150</v>
      </c>
    </row>
    <row r="24" hidden="1" outlineLevel="1">
      <c r="B24" s="3" t="inlineStr">
        <is>
          <t>Repair collected — Jamal W.</t>
        </is>
      </c>
      <c r="D24" s="4" t="n">
        <v>360</v>
      </c>
    </row>
    <row r="25" hidden="1" outlineLevel="1">
      <c r="B25" s="3" t="inlineStr">
        <is>
          <t>Parts used — Jamal W.</t>
        </is>
      </c>
      <c r="D25" s="4" t="n">
        <v>-60</v>
      </c>
    </row>
    <row r="26" hidden="1" outlineLevel="1">
      <c r="B26" s="3" t="inlineStr">
        <is>
          <t>Repair collected — Erin K.</t>
        </is>
      </c>
      <c r="D26" s="4" t="n">
        <v>225</v>
      </c>
    </row>
    <row r="27" hidden="1" outlineLevel="1">
      <c r="B27" s="3" t="inlineStr">
        <is>
          <t>Parts used — Erin K.</t>
        </is>
      </c>
      <c r="D27" s="4" t="n">
        <v>-40</v>
      </c>
    </row>
    <row r="28" hidden="1" outlineLevel="1">
      <c r="B28" s="3" t="inlineStr">
        <is>
          <t>Repair collected — Noah B.</t>
        </is>
      </c>
      <c r="D28" s="4" t="n">
        <v>210</v>
      </c>
    </row>
    <row r="29" hidden="1" outlineLevel="1">
      <c r="B29" s="3" t="inlineStr">
        <is>
          <t>Parts used — Noah B.</t>
        </is>
      </c>
      <c r="D29" s="4" t="n">
        <v>-65</v>
      </c>
    </row>
    <row r="30" hidden="1" outlineLevel="1">
      <c r="B30" s="3" t="inlineStr">
        <is>
          <t>Rent used — June</t>
        </is>
      </c>
      <c r="D30" s="4" t="n">
        <v>-650</v>
      </c>
    </row>
    <row r="31" hidden="1" outlineLevel="1">
      <c r="B31" s="3" t="inlineStr">
        <is>
          <t>Rent used — July</t>
        </is>
      </c>
      <c r="D31" s="4" t="n">
        <v>-650</v>
      </c>
    </row>
    <row r="32" hidden="1" outlineLevel="1">
      <c r="B32" s="3" t="inlineStr">
        <is>
          <t>Repair collected — Grace L.</t>
        </is>
      </c>
      <c r="D32" s="4" t="n">
        <v>240</v>
      </c>
    </row>
    <row r="33" hidden="1" outlineLevel="1">
      <c r="B33" s="3" t="inlineStr">
        <is>
          <t>Parts used — Grace L.</t>
        </is>
      </c>
      <c r="D33" s="4" t="n">
        <v>-35</v>
      </c>
    </row>
    <row r="34" hidden="1" outlineLevel="1">
      <c r="B34" s="3" t="inlineStr">
        <is>
          <t>Repair collected — Theo H.</t>
        </is>
      </c>
      <c r="D34" s="4" t="n">
        <v>240</v>
      </c>
    </row>
    <row r="35" hidden="1" outlineLevel="1">
      <c r="B35" s="3" t="inlineStr">
        <is>
          <t>Parts used — Theo H.</t>
        </is>
      </c>
      <c r="D35" s="4" t="n">
        <v>-25</v>
      </c>
    </row>
    <row r="36" hidden="1" outlineLevel="1">
      <c r="B36" s="3" t="inlineStr">
        <is>
          <t>Repair collected — Maya P.</t>
        </is>
      </c>
      <c r="D36" s="4" t="n">
        <v>450</v>
      </c>
    </row>
    <row r="37" hidden="1" outlineLevel="1">
      <c r="B37" s="3" t="inlineStr">
        <is>
          <t>Parts used — Maya P.</t>
        </is>
      </c>
      <c r="D37" s="4" t="n">
        <v>-125</v>
      </c>
    </row>
    <row r="38" hidden="1" outlineLevel="1">
      <c r="B38" s="3" t="inlineStr">
        <is>
          <t>Repair collected — Owen C.</t>
        </is>
      </c>
      <c r="D38" s="4" t="n">
        <v>360</v>
      </c>
    </row>
    <row r="39" hidden="1" outlineLevel="1">
      <c r="B39" s="3" t="inlineStr">
        <is>
          <t>Parts used — Owen C.</t>
        </is>
      </c>
      <c r="D39" s="4" t="n">
        <v>-55</v>
      </c>
    </row>
    <row r="40" hidden="1" outlineLevel="1">
      <c r="B40" s="3" t="inlineStr">
        <is>
          <t>Repair collected — Ava D.</t>
        </is>
      </c>
      <c r="D40" s="4" t="n">
        <v>270</v>
      </c>
    </row>
    <row r="41" hidden="1" outlineLevel="1">
      <c r="B41" s="3" t="inlineStr">
        <is>
          <t>Parts used — Ava D.</t>
        </is>
      </c>
      <c r="D41" s="4" t="n">
        <v>-45</v>
      </c>
    </row>
    <row r="42" hidden="1" outlineLevel="1">
      <c r="B42" s="3" t="inlineStr">
        <is>
          <t>Repair collected — Leo F.</t>
        </is>
      </c>
      <c r="D42" s="4" t="n">
        <v>240</v>
      </c>
    </row>
    <row r="43" hidden="1" outlineLevel="1">
      <c r="B43" s="3" t="inlineStr">
        <is>
          <t>Parts used — Leo F.</t>
        </is>
      </c>
      <c r="D43" s="4" t="n">
        <v>-100</v>
      </c>
    </row>
    <row r="44" hidden="1" outlineLevel="1">
      <c r="B44" s="3" t="inlineStr">
        <is>
          <t>Repair collected — Nina V.</t>
        </is>
      </c>
      <c r="D44" s="4" t="n">
        <v>300</v>
      </c>
    </row>
    <row r="45" hidden="1" outlineLevel="1">
      <c r="B45" s="3" t="inlineStr">
        <is>
          <t>Parts used — Nina V.</t>
        </is>
      </c>
      <c r="D45" s="4" t="n">
        <v>-80</v>
      </c>
    </row>
    <row r="46" hidden="1" outlineLevel="1">
      <c r="B46" s="3" t="inlineStr">
        <is>
          <t>Rent used — August</t>
        </is>
      </c>
      <c r="D46" s="4" t="n">
        <v>-650</v>
      </c>
    </row>
    <row r="47" hidden="1" outlineLevel="1">
      <c r="B47" s="3" t="inlineStr">
        <is>
          <t>Repair collected — Caleb G.</t>
        </is>
      </c>
      <c r="D47" s="4" t="n">
        <v>240</v>
      </c>
    </row>
    <row r="48" hidden="1" outlineLevel="1">
      <c r="B48" s="3" t="inlineStr">
        <is>
          <t>Parts used — Caleb G.</t>
        </is>
      </c>
      <c r="D48" s="4" t="n">
        <v>-25</v>
      </c>
    </row>
    <row r="49" hidden="1" outlineLevel="1">
      <c r="B49" s="3" t="inlineStr">
        <is>
          <t>Repair collected — Ruth A.</t>
        </is>
      </c>
      <c r="D49" s="4" t="n">
        <v>485</v>
      </c>
    </row>
    <row r="50" hidden="1" outlineLevel="1">
      <c r="B50" s="3" t="inlineStr">
        <is>
          <t>Parts used — Ruth A.</t>
        </is>
      </c>
      <c r="D50" s="4" t="n">
        <v>-129</v>
      </c>
    </row>
    <row r="51" hidden="1" outlineLevel="1">
      <c r="B51" s="3" t="inlineStr">
        <is>
          <t>Repair collected — Sam Q.</t>
        </is>
      </c>
      <c r="D51" s="4" t="n">
        <v>390</v>
      </c>
    </row>
    <row r="52" hidden="1" outlineLevel="1">
      <c r="B52" s="3" t="inlineStr">
        <is>
          <t>Parts used — Sam Q.</t>
        </is>
      </c>
      <c r="D52" s="4" t="n">
        <v>-70</v>
      </c>
    </row>
    <row r="53" hidden="1" outlineLevel="1">
      <c r="B53" s="3" t="inlineStr">
        <is>
          <t>Repair collected — Westville Bike Share</t>
        </is>
      </c>
      <c r="D53" s="4" t="n">
        <v>500</v>
      </c>
    </row>
    <row r="54" hidden="1" outlineLevel="1">
      <c r="B54" s="3" t="inlineStr">
        <is>
          <t>Parts used — Westville Bike Share</t>
        </is>
      </c>
      <c r="D54" s="4" t="n">
        <v>-105</v>
      </c>
    </row>
    <row r="55" hidden="1" outlineLevel="1">
      <c r="B55" s="3" t="inlineStr">
        <is>
          <t>Repair delivered — Ridgeline Trail Crew, billed net 15 (unpaid)</t>
        </is>
      </c>
      <c r="D55" s="4" t="n">
        <v>300</v>
      </c>
    </row>
    <row r="56" hidden="1" outlineLevel="1">
      <c r="B56" s="3" t="inlineStr">
        <is>
          <t>Parts used — Ridgeline Trail Crew</t>
        </is>
      </c>
      <c r="D56" s="4" t="n">
        <v>-75</v>
      </c>
    </row>
    <row r="57" hidden="1" outlineLevel="1">
      <c r="B57" s="3" t="inlineStr">
        <is>
          <t>Frame delivered — J. Smith (deposit earned)</t>
        </is>
      </c>
      <c r="D57" s="4" t="n">
        <v>220</v>
      </c>
    </row>
    <row r="58" hidden="1" outlineLevel="1">
      <c r="B58" s="3" t="inlineStr">
        <is>
          <t>Parts used — J. Smith</t>
        </is>
      </c>
      <c r="D58" s="4" t="n">
        <v>-36</v>
      </c>
    </row>
    <row r="59" hidden="1" outlineLevel="1">
      <c r="B59" s="3" t="inlineStr">
        <is>
          <t>Depreciation — tools &amp; repair equipment, Summer 2026</t>
        </is>
      </c>
      <c r="D59" s="4" t="n">
        <v>-160</v>
      </c>
    </row>
    <row r="60" hidden="1" outlineLevel="1">
      <c r="B60" s="3" t="inlineStr">
        <is>
          <t>Depreciation — fixtures, Summer 2026</t>
        </is>
      </c>
      <c r="D60" s="4" t="n">
        <v>-40</v>
      </c>
    </row>
    <row r="61" hidden="1" outlineLevel="1">
      <c r="B61" s="3" t="inlineStr">
        <is>
          <t>Depreciation — laptop, Summer 2026</t>
        </is>
      </c>
      <c r="D61" s="4" t="n">
        <v>-30</v>
      </c>
    </row>
    <row r="62" collapsed="1">
      <c r="B62" s="16" t="inlineStr">
        <is>
          <t>Balance, August 31, 2026</t>
        </is>
      </c>
      <c r="C62" s="17" t="n"/>
      <c r="D62" s="13">
        <f>SUBTOTAL(9,D16:D61)</f>
        <v>2640</v>
      </c>
    </row>
    <row r="63">
      <c r="B63" s="3" t="n"/>
      <c r="D63" s="4" t="n"/>
    </row>
    <row r="64">
      <c r="B64" s="6" t="inlineStr">
        <is>
          <t>WITHDRAWN</t>
        </is>
      </c>
      <c r="C64" s="11" t="n"/>
      <c r="D64" s="11" t="n"/>
    </row>
    <row r="65">
      <c r="B65" s="16" t="inlineStr">
        <is>
          <t>Balance, June 1, 2026</t>
        </is>
      </c>
      <c r="C65" s="17" t="n"/>
      <c r="D65" s="13" t="n">
        <v>0</v>
      </c>
    </row>
    <row r="66" hidden="1" outlineLevel="1">
      <c r="B66" s="3" t="inlineStr">
        <is>
          <t>Owner's draw — money taken out for personal use</t>
        </is>
      </c>
      <c r="D66" s="4" t="n">
        <v>-600</v>
      </c>
    </row>
    <row r="67" collapsed="1">
      <c r="B67" s="16" t="inlineStr">
        <is>
          <t>Balance, August 31, 2026</t>
        </is>
      </c>
      <c r="C67" s="17" t="n"/>
      <c r="D67" s="13">
        <f>SUM(D65:D66)</f>
        <v>-600</v>
      </c>
    </row>
    <row r="71" hidden="1" outlineLevel="1"/>
    <row r="72" collapsed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30A0"/>
    <outlinePr summaryBelow="1" summaryRight="1"/>
    <pageSetUpPr/>
  </sheetPr>
  <dimension ref="A1:C19"/>
  <sheetViews>
    <sheetView zoomScale="160" zoomScaleNormal="160" workbookViewId="0">
      <selection activeCell="C41" sqref="C41"/>
    </sheetView>
  </sheetViews>
  <sheetFormatPr baseColWidth="10" defaultColWidth="8.83203125" defaultRowHeight="15"/>
  <cols>
    <col width="2" customWidth="1" min="1" max="1"/>
    <col width="50" customWidth="1" min="2" max="2"/>
    <col width="16" customWidth="1" min="3" max="3"/>
  </cols>
  <sheetData>
    <row r="1" ht="19" customHeight="1">
      <c r="B1" s="1" t="inlineStr">
        <is>
          <t>[Your Name]'s Bike Repair, LLC.</t>
        </is>
      </c>
    </row>
    <row r="2" ht="19" customHeight="1">
      <c r="B2" s="1" t="inlineStr">
        <is>
          <t>Balance Sheets</t>
        </is>
      </c>
    </row>
    <row r="3">
      <c r="B3" s="2" t="n"/>
      <c r="C3" s="12" t="inlineStr">
        <is>
          <t>June 1, 2026</t>
        </is>
      </c>
    </row>
    <row r="4">
      <c r="B4" s="9" t="inlineStr">
        <is>
          <t>Assets</t>
        </is>
      </c>
      <c r="C4" s="14" t="n"/>
    </row>
    <row r="5">
      <c r="B5" s="8" t="inlineStr">
        <is>
          <t>Cash</t>
        </is>
      </c>
      <c r="C5" s="18" t="n">
        <v>1300</v>
      </c>
    </row>
    <row r="6">
      <c r="B6" s="8" t="inlineStr">
        <is>
          <t>Right of Use</t>
        </is>
      </c>
      <c r="C6" s="19" t="n">
        <v>650</v>
      </c>
    </row>
    <row r="7">
      <c r="B7" s="8" t="inlineStr">
        <is>
          <t>Parts</t>
        </is>
      </c>
      <c r="C7" s="19" t="n">
        <v>200</v>
      </c>
    </row>
    <row r="8">
      <c r="B8" s="8" t="inlineStr">
        <is>
          <t>Tools &amp; Repair Equipment</t>
        </is>
      </c>
      <c r="C8" s="19" t="n">
        <v>1200</v>
      </c>
    </row>
    <row r="9">
      <c r="B9" s="8" t="inlineStr">
        <is>
          <t>Fixtures</t>
        </is>
      </c>
      <c r="C9" s="19" t="n">
        <v>750</v>
      </c>
    </row>
    <row r="10">
      <c r="B10" s="8" t="inlineStr">
        <is>
          <t>Laptop</t>
        </is>
      </c>
      <c r="C10" s="19" t="n">
        <v>610</v>
      </c>
    </row>
    <row r="11">
      <c r="B11" s="10" t="inlineStr">
        <is>
          <t>Total Assets</t>
        </is>
      </c>
      <c r="C11" s="20" t="n">
        <v>4710</v>
      </c>
    </row>
    <row r="12">
      <c r="B12" s="9" t="inlineStr">
        <is>
          <t>Liabilities</t>
        </is>
      </c>
      <c r="C12" s="14" t="n"/>
    </row>
    <row r="13">
      <c r="B13" s="8" t="inlineStr">
        <is>
          <t>Credit Card</t>
        </is>
      </c>
      <c r="C13" s="18" t="n">
        <v>2030</v>
      </c>
    </row>
    <row r="14">
      <c r="B14" s="8" t="inlineStr">
        <is>
          <t>Customer Deposit</t>
        </is>
      </c>
      <c r="C14" s="19" t="n">
        <v>220</v>
      </c>
    </row>
    <row r="15">
      <c r="B15" s="10" t="inlineStr">
        <is>
          <t>Total Liabilities</t>
        </is>
      </c>
      <c r="C15" s="20" t="n">
        <v>2250</v>
      </c>
    </row>
    <row r="16">
      <c r="B16" s="9" t="inlineStr">
        <is>
          <t>Member's Capital</t>
        </is>
      </c>
      <c r="C16" s="14" t="n"/>
    </row>
    <row r="17">
      <c r="B17" s="8" t="inlineStr">
        <is>
          <t>Contributed</t>
        </is>
      </c>
      <c r="C17" s="18" t="n">
        <v>2460</v>
      </c>
    </row>
    <row r="18">
      <c r="B18" s="10" t="inlineStr">
        <is>
          <t>Total Member's Capital</t>
        </is>
      </c>
      <c r="C18" s="20" t="n">
        <v>2460</v>
      </c>
    </row>
    <row r="19">
      <c r="B19" s="10" t="n"/>
      <c r="C19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2026-07-13T01:48:13Z</dcterms:created>
  <dcterms:modified xsi:type="dcterms:W3CDTF">2026-08-09T03:51:44Z</dcterms:modified>
  <cp:lastModifiedBy>Antle, Rick</cp:lastModifiedBy>
</cp:coreProperties>
</file>