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40" yWindow="57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>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 outlineLevel="1">
      <c r="B116" s="3" t="inlineStr">
        <is>
          <t>Depreciation — Summer 2026 (the season's share of the cost)</t>
        </is>
      </c>
      <c r="D116" s="4" t="n">
        <v>-160</v>
      </c>
    </row>
    <row r="117">
      <c r="B117" s="16" t="inlineStr">
        <is>
          <t>Balance, August 31, 2026</t>
        </is>
      </c>
      <c r="C117" s="17" t="n"/>
      <c r="D117" s="13">
        <f>SUBTOTAL(9,D101:D116)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outlineLevel="1">
      <c r="B120" s="3" t="inlineStr">
        <is>
          <t>Desk</t>
        </is>
      </c>
      <c r="D120" s="4" t="n">
        <v>250</v>
      </c>
    </row>
    <row r="121" outlineLevel="1">
      <c r="B121" s="3" t="inlineStr">
        <is>
          <t>Shelving units</t>
        </is>
      </c>
      <c r="D121" s="4" t="n">
        <v>200</v>
      </c>
    </row>
    <row r="122" outlineLevel="1">
      <c r="B122" s="3" t="inlineStr">
        <is>
          <t>Display rack</t>
        </is>
      </c>
      <c r="D122" s="4" t="n">
        <v>180</v>
      </c>
    </row>
    <row r="123" outlineLevel="1">
      <c r="B123" s="3" t="inlineStr">
        <is>
          <t>Pegboard + hooks</t>
        </is>
      </c>
      <c r="D123" s="4" t="n">
        <v>120</v>
      </c>
    </row>
    <row r="124">
      <c r="B124" s="16" t="inlineStr">
        <is>
          <t>Balance, June 1, 2026</t>
        </is>
      </c>
      <c r="C124" s="17" t="n"/>
      <c r="D124" s="13">
        <f>SUBTOTAL(9,D120:D123)</f>
        <v>750</v>
        <v/>
      </c>
    </row>
    <row r="125" outlineLevel="1">
      <c r="B125" s="3" t="inlineStr">
        <is>
          <t>Depreciation — Summer 2026 (the season's share of the cost)</t>
        </is>
      </c>
      <c r="D125" s="4" t="n">
        <v>-40</v>
      </c>
    </row>
    <row r="126">
      <c r="B126" s="16" t="inlineStr">
        <is>
          <t>Balance, August 31, 2026</t>
        </is>
      </c>
      <c r="C126" s="17" t="n"/>
      <c r="D126" s="13">
        <f>SUBTOTAL(9,D120:D125)</f>
        <v>710</v>
        <v/>
      </c>
    </row>
    <row r="128">
      <c r="B128" s="6" t="inlineStr">
        <is>
          <t>Laptop</t>
        </is>
      </c>
      <c r="C128" s="11" t="n"/>
      <c r="D128" s="11" t="n"/>
    </row>
    <row r="129" outlineLevel="1">
      <c r="B129" s="3" t="inlineStr">
        <is>
          <t>Laptop (from home)</t>
        </is>
      </c>
      <c r="D129" s="4" t="n">
        <v>610</v>
      </c>
    </row>
    <row r="130">
      <c r="B130" s="16" t="inlineStr">
        <is>
          <t>Balance, June 1, 2026</t>
        </is>
      </c>
      <c r="C130" s="17" t="n"/>
      <c r="D130" s="13">
        <f>SUBTOTAL(9,D129)</f>
        <v>610</v>
        <v/>
      </c>
    </row>
    <row r="131" outlineLevel="1">
      <c r="B131" s="3" t="inlineStr">
        <is>
          <t>Depreciation — Summer 2026 (the season's share of the cost)</t>
        </is>
      </c>
      <c r="D131" s="4" t="n">
        <v>-30</v>
      </c>
    </row>
    <row r="132">
      <c r="B132" s="16" t="inlineStr">
        <is>
          <t>Balance, August 31, 2026</t>
        </is>
      </c>
      <c r="C132" s="17" t="n"/>
      <c r="D132" s="13">
        <f>SUBTOTAL(9,D129:D131)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7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16" t="inlineStr">
        <is>
          <t>Balance, June 1, 2026</t>
        </is>
      </c>
      <c r="C65" s="17" t="n"/>
      <c r="D65" s="13" t="n">
        <v>0</v>
      </c>
    </row>
    <row r="66" outlineLevel="1">
      <c r="B66" s="3" t="inlineStr">
        <is>
          <t>Owner's draw — money taken out for personal use</t>
        </is>
      </c>
      <c r="D66" s="4" t="n">
        <v>-600</v>
      </c>
    </row>
    <row r="67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