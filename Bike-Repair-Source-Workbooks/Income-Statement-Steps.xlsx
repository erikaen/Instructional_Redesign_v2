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3000" windowWidth="33460" windowHeight="26100" tabRatio="600" firstSheet="0" activeTab="0" autoFilterDateGrouping="1"/>
  </bookViews>
  <sheets>
    <sheet name="0 · Data copied in" sheetId="1" state="visible" r:id="rId1"/>
    <sheet name="1 · Pick — Revenue or Expense" sheetId="2" state="visible" r:id="rId2"/>
    <sheet name="2 · Sort — Revenue &amp; Expenses" sheetId="3" state="visible" r:id="rId3"/>
    <sheet name="3 · Pick — kind of expense" sheetId="4" state="visible" r:id="rId4"/>
    <sheet name="4 · Sort expenses by kind" sheetId="5" state="visible" r:id="rId5"/>
    <sheet name="5 · Format statemen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i val="1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i val="1"/>
      <color theme="1" tint="0.3499862666707358"/>
      <sz val="11"/>
    </font>
    <font>
      <name val="Calibri"/>
      <family val="2"/>
      <b val="1"/>
      <i val="1"/>
      <sz val="11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4" tint="0.7999816888943144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4" fillId="3" borderId="0" pivotButton="0" quotePrefix="0" xfId="0"/>
    <xf numFmtId="0" fontId="3" fillId="4" borderId="2" pivotButton="0" quotePrefix="0" xfId="0"/>
    <xf numFmtId="0" fontId="0" fillId="4" borderId="2" pivotButton="0" quotePrefix="0" xfId="0"/>
    <xf numFmtId="164" fontId="4" fillId="4" borderId="2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164" fontId="4" fillId="0" borderId="3" pivotButton="0" quotePrefix="0" xfId="0"/>
    <xf numFmtId="165" fontId="3" fillId="0" borderId="0" pivotButton="0" quotePrefix="0" xfId="0"/>
    <xf numFmtId="165" fontId="4" fillId="4" borderId="2" pivotButton="0" quotePrefix="0" xfId="0"/>
    <xf numFmtId="41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tabSelected="1" workbookViewId="0">
      <selection activeCell="A1" sqref="A1"/>
    </sheetView>
  </sheetViews>
  <sheetFormatPr baseColWidth="10" defaultColWidth="8.83203125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Income Statement</t>
        </is>
      </c>
    </row>
    <row r="2">
      <c r="B2" s="2" t="inlineStr">
        <is>
          <t>For the period June 1 – August 31, 2026</t>
        </is>
      </c>
    </row>
    <row r="3"/>
    <row r="4">
      <c r="B4" s="3" t="inlineStr">
        <is>
          <t>Repair collected — Dana R.</t>
        </is>
      </c>
      <c r="D4" s="4" t="n">
        <v>120</v>
      </c>
    </row>
    <row r="5">
      <c r="B5" s="3" t="inlineStr">
        <is>
          <t>Parts used — Dana R.</t>
        </is>
      </c>
      <c r="D5" s="4" t="n">
        <v>-10</v>
      </c>
    </row>
    <row r="6">
      <c r="B6" s="3" t="inlineStr">
        <is>
          <t>Repair collected — Marcus T.</t>
        </is>
      </c>
      <c r="D6" s="4" t="n">
        <v>150</v>
      </c>
    </row>
    <row r="7">
      <c r="B7" s="3" t="inlineStr">
        <is>
          <t>Repair collected — Priya S.</t>
        </is>
      </c>
      <c r="D7" s="4" t="n">
        <v>270</v>
      </c>
    </row>
    <row r="8">
      <c r="B8" s="3" t="inlineStr">
        <is>
          <t>Parts used — Priya S.</t>
        </is>
      </c>
      <c r="D8" s="4" t="n">
        <v>-25</v>
      </c>
    </row>
    <row r="9">
      <c r="B9" s="3" t="inlineStr">
        <is>
          <t>Repair collected — Liam O.</t>
        </is>
      </c>
      <c r="D9" s="4" t="n">
        <v>300</v>
      </c>
    </row>
    <row r="10">
      <c r="B10" s="3" t="inlineStr">
        <is>
          <t>Parts used — Liam O.</t>
        </is>
      </c>
      <c r="D10" s="4" t="n">
        <v>-95</v>
      </c>
    </row>
    <row r="11">
      <c r="B11" s="3" t="inlineStr">
        <is>
          <t>Repair collected — Sofia M.</t>
        </is>
      </c>
      <c r="D11" s="4" t="n">
        <v>150</v>
      </c>
    </row>
    <row r="12">
      <c r="B12" s="3" t="inlineStr">
        <is>
          <t>Repair collected — Jamal W.</t>
        </is>
      </c>
      <c r="D12" s="4" t="n">
        <v>360</v>
      </c>
    </row>
    <row r="13">
      <c r="B13" s="3" t="inlineStr">
        <is>
          <t>Parts used — Jamal W.</t>
        </is>
      </c>
      <c r="D13" s="4" t="n">
        <v>-60</v>
      </c>
    </row>
    <row r="14">
      <c r="B14" s="3" t="inlineStr">
        <is>
          <t>Repair collected — Erin K.</t>
        </is>
      </c>
      <c r="D14" s="4" t="n">
        <v>225</v>
      </c>
    </row>
    <row r="15">
      <c r="B15" s="3" t="inlineStr">
        <is>
          <t>Parts used — Erin K.</t>
        </is>
      </c>
      <c r="D15" s="4" t="n">
        <v>-40</v>
      </c>
    </row>
    <row r="16">
      <c r="B16" s="3" t="inlineStr">
        <is>
          <t>Repair collected — Noah B.</t>
        </is>
      </c>
      <c r="D16" s="4" t="n">
        <v>210</v>
      </c>
    </row>
    <row r="17">
      <c r="B17" s="3" t="inlineStr">
        <is>
          <t>Parts used — Noah B.</t>
        </is>
      </c>
      <c r="D17" s="4" t="n">
        <v>-65</v>
      </c>
    </row>
    <row r="18">
      <c r="B18" s="3" t="inlineStr">
        <is>
          <t>Rent used — June</t>
        </is>
      </c>
      <c r="D18" s="4" t="n">
        <v>-650</v>
      </c>
    </row>
    <row r="19">
      <c r="B19" s="3" t="inlineStr">
        <is>
          <t>Rent used — July</t>
        </is>
      </c>
      <c r="D19" s="4" t="n">
        <v>-650</v>
      </c>
    </row>
    <row r="20">
      <c r="B20" s="3" t="inlineStr">
        <is>
          <t>Repair collected — Grace L.</t>
        </is>
      </c>
      <c r="D20" s="4" t="n">
        <v>240</v>
      </c>
    </row>
    <row r="21">
      <c r="B21" s="3" t="inlineStr">
        <is>
          <t>Parts used — Grace L.</t>
        </is>
      </c>
      <c r="D21" s="4" t="n">
        <v>-35</v>
      </c>
    </row>
    <row r="22">
      <c r="B22" s="3" t="inlineStr">
        <is>
          <t>Repair collected — Theo H.</t>
        </is>
      </c>
      <c r="D22" s="4" t="n">
        <v>240</v>
      </c>
    </row>
    <row r="23">
      <c r="B23" s="3" t="inlineStr">
        <is>
          <t>Parts used — Theo H.</t>
        </is>
      </c>
      <c r="D23" s="4" t="n">
        <v>-25</v>
      </c>
    </row>
    <row r="24">
      <c r="B24" s="3" t="inlineStr">
        <is>
          <t>Repair collected — Maya P.</t>
        </is>
      </c>
      <c r="D24" s="4" t="n">
        <v>450</v>
      </c>
    </row>
    <row r="25">
      <c r="B25" s="3" t="inlineStr">
        <is>
          <t>Parts used — Maya P.</t>
        </is>
      </c>
      <c r="D25" s="4" t="n">
        <v>-125</v>
      </c>
    </row>
    <row r="26">
      <c r="B26" s="3" t="inlineStr">
        <is>
          <t>Repair collected — Owen C.</t>
        </is>
      </c>
      <c r="D26" s="4" t="n">
        <v>360</v>
      </c>
    </row>
    <row r="27">
      <c r="B27" s="3" t="inlineStr">
        <is>
          <t>Parts used — Owen C.</t>
        </is>
      </c>
      <c r="D27" s="4" t="n">
        <v>-55</v>
      </c>
    </row>
    <row r="28">
      <c r="B28" s="3" t="inlineStr">
        <is>
          <t>Repair collected — Ava D.</t>
        </is>
      </c>
      <c r="D28" s="4" t="n">
        <v>270</v>
      </c>
    </row>
    <row r="29">
      <c r="B29" s="3" t="inlineStr">
        <is>
          <t>Parts used — Ava D.</t>
        </is>
      </c>
      <c r="D29" s="4" t="n">
        <v>-45</v>
      </c>
    </row>
    <row r="30">
      <c r="B30" s="3" t="inlineStr">
        <is>
          <t>Repair collected — Leo F.</t>
        </is>
      </c>
      <c r="D30" s="4" t="n">
        <v>240</v>
      </c>
    </row>
    <row r="31">
      <c r="B31" s="3" t="inlineStr">
        <is>
          <t>Parts used — Leo F.</t>
        </is>
      </c>
      <c r="D31" s="4" t="n">
        <v>-100</v>
      </c>
    </row>
    <row r="32">
      <c r="B32" s="3" t="inlineStr">
        <is>
          <t>Repair collected — Nina V.</t>
        </is>
      </c>
      <c r="D32" s="4" t="n">
        <v>300</v>
      </c>
    </row>
    <row r="33">
      <c r="B33" s="3" t="inlineStr">
        <is>
          <t>Parts used — Nina V.</t>
        </is>
      </c>
      <c r="D33" s="4" t="n">
        <v>-80</v>
      </c>
    </row>
    <row r="34">
      <c r="B34" s="3" t="inlineStr">
        <is>
          <t>Rent used — August</t>
        </is>
      </c>
      <c r="D34" s="4" t="n">
        <v>-650</v>
      </c>
    </row>
    <row r="35">
      <c r="B35" s="3" t="inlineStr">
        <is>
          <t>Repair collected — Caleb G.</t>
        </is>
      </c>
      <c r="D35" s="4" t="n">
        <v>240</v>
      </c>
    </row>
    <row r="36">
      <c r="B36" s="3" t="inlineStr">
        <is>
          <t>Parts used — Caleb G.</t>
        </is>
      </c>
      <c r="D36" s="4" t="n">
        <v>-25</v>
      </c>
    </row>
    <row r="37">
      <c r="B37" s="3" t="inlineStr">
        <is>
          <t>Repair collected — Ruth A.</t>
        </is>
      </c>
      <c r="D37" s="4" t="n">
        <v>485</v>
      </c>
    </row>
    <row r="38">
      <c r="B38" s="3" t="inlineStr">
        <is>
          <t>Parts used — Ruth A.</t>
        </is>
      </c>
      <c r="D38" s="4" t="n">
        <v>-129</v>
      </c>
    </row>
    <row r="39">
      <c r="B39" s="3" t="inlineStr">
        <is>
          <t>Repair collected — Sam Q.</t>
        </is>
      </c>
      <c r="D39" s="4" t="n">
        <v>390</v>
      </c>
    </row>
    <row r="40">
      <c r="B40" s="3" t="inlineStr">
        <is>
          <t>Parts used — Sam Q.</t>
        </is>
      </c>
      <c r="D40" s="4" t="n">
        <v>-70</v>
      </c>
    </row>
    <row r="41">
      <c r="B41" s="3" t="inlineStr">
        <is>
          <t>Repair collected — Westville Bike Share</t>
        </is>
      </c>
      <c r="D41" s="4" t="n">
        <v>500</v>
      </c>
    </row>
    <row r="42">
      <c r="B42" s="3" t="inlineStr">
        <is>
          <t>Parts used — Westville Bike Share</t>
        </is>
      </c>
      <c r="D42" s="4" t="n">
        <v>-105</v>
      </c>
    </row>
    <row r="43">
      <c r="B43" s="3" t="inlineStr">
        <is>
          <t>Repair delivered — Ridgeline Trail Crew, billed net 15 (unpaid)</t>
        </is>
      </c>
      <c r="D43" s="4" t="n">
        <v>300</v>
      </c>
    </row>
    <row r="44">
      <c r="B44" s="3" t="inlineStr">
        <is>
          <t>Parts used — Ridgeline Trail Crew</t>
        </is>
      </c>
      <c r="D44" s="4" t="n">
        <v>-75</v>
      </c>
    </row>
    <row r="45">
      <c r="B45" s="3" t="inlineStr">
        <is>
          <t>Frame delivered — J. Smith (deposit earned)</t>
        </is>
      </c>
      <c r="D45" s="4" t="n">
        <v>220</v>
      </c>
    </row>
    <row r="46">
      <c r="B46" s="3" t="inlineStr">
        <is>
          <t>Parts used — J. Smith</t>
        </is>
      </c>
      <c r="D46" s="4" t="n">
        <v>-36</v>
      </c>
    </row>
    <row r="47">
      <c r="B47" s="3" t="inlineStr">
        <is>
          <t>Depreciation — tools &amp; repair equipment, Summer 2026</t>
        </is>
      </c>
      <c r="D47" s="4" t="n">
        <v>-160</v>
      </c>
    </row>
    <row r="48">
      <c r="B48" s="3" t="inlineStr">
        <is>
          <t>Depreciation — fixtures, Summer 2026</t>
        </is>
      </c>
      <c r="D48" s="4" t="n">
        <v>-40</v>
      </c>
    </row>
    <row r="49">
      <c r="B49" s="3" t="inlineStr">
        <is>
          <t>Depreciation — laptop, Summer 2026</t>
        </is>
      </c>
      <c r="D49" s="4" t="n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10" defaultColWidth="8.83203125" defaultRowHeight="15"/>
  <cols>
    <col width="2" customWidth="1" min="1" max="1"/>
    <col width="50" customWidth="1" min="2" max="2"/>
    <col width="15" customWidth="1" min="3" max="3"/>
    <col width="14" customWidth="1" min="4" max="4"/>
  </cols>
  <sheetData>
    <row r="1" ht="19" customHeight="1">
      <c r="B1" s="1" t="inlineStr">
        <is>
          <t>Income Statement</t>
        </is>
      </c>
    </row>
    <row r="2">
      <c r="B2" s="2" t="inlineStr">
        <is>
          <t>For the period June 1 – August 31, 2026</t>
        </is>
      </c>
    </row>
    <row r="3">
      <c r="B3" s="5" t="inlineStr">
        <is>
          <t>Item</t>
        </is>
      </c>
      <c r="C3" s="6" t="inlineStr">
        <is>
          <t>Category</t>
        </is>
      </c>
      <c r="D3" s="5" t="inlineStr">
        <is>
          <t>Amount</t>
        </is>
      </c>
    </row>
    <row r="4">
      <c r="B4" s="3" t="inlineStr">
        <is>
          <t>Repair collected — Dana R.</t>
        </is>
      </c>
      <c r="C4" s="7" t="inlineStr">
        <is>
          <t>Revenue</t>
        </is>
      </c>
      <c r="D4" s="4" t="n">
        <v>120</v>
      </c>
    </row>
    <row r="5">
      <c r="B5" s="3" t="inlineStr">
        <is>
          <t>Parts used — Dana R.</t>
        </is>
      </c>
      <c r="C5" s="7" t="inlineStr">
        <is>
          <t>Expense</t>
        </is>
      </c>
      <c r="D5" s="4" t="n">
        <v>-10</v>
      </c>
    </row>
    <row r="6">
      <c r="B6" s="3" t="inlineStr">
        <is>
          <t>Repair collected — Marcus T.</t>
        </is>
      </c>
      <c r="C6" s="7" t="inlineStr">
        <is>
          <t>Revenue</t>
        </is>
      </c>
      <c r="D6" s="4" t="n">
        <v>150</v>
      </c>
    </row>
    <row r="7">
      <c r="B7" s="3" t="inlineStr">
        <is>
          <t>Repair collected — Priya S.</t>
        </is>
      </c>
      <c r="C7" s="7" t="inlineStr">
        <is>
          <t>Revenue</t>
        </is>
      </c>
      <c r="D7" s="4" t="n">
        <v>270</v>
      </c>
    </row>
    <row r="8">
      <c r="B8" s="3" t="inlineStr">
        <is>
          <t>Parts used — Priya S.</t>
        </is>
      </c>
      <c r="C8" s="7" t="inlineStr">
        <is>
          <t>Expense</t>
        </is>
      </c>
      <c r="D8" s="4" t="n">
        <v>-25</v>
      </c>
    </row>
    <row r="9">
      <c r="B9" s="3" t="inlineStr">
        <is>
          <t>Repair collected — Liam O.</t>
        </is>
      </c>
      <c r="C9" s="7" t="inlineStr">
        <is>
          <t>Revenue</t>
        </is>
      </c>
      <c r="D9" s="4" t="n">
        <v>300</v>
      </c>
    </row>
    <row r="10">
      <c r="B10" s="3" t="inlineStr">
        <is>
          <t>Parts used — Liam O.</t>
        </is>
      </c>
      <c r="C10" s="7" t="inlineStr">
        <is>
          <t>Expense</t>
        </is>
      </c>
      <c r="D10" s="4" t="n">
        <v>-95</v>
      </c>
    </row>
    <row r="11">
      <c r="B11" s="3" t="inlineStr">
        <is>
          <t>Repair collected — Sofia M.</t>
        </is>
      </c>
      <c r="C11" s="7" t="inlineStr">
        <is>
          <t>Revenue</t>
        </is>
      </c>
      <c r="D11" s="4" t="n">
        <v>150</v>
      </c>
    </row>
    <row r="12">
      <c r="B12" s="3" t="inlineStr">
        <is>
          <t>Repair collected — Jamal W.</t>
        </is>
      </c>
      <c r="C12" s="7" t="inlineStr">
        <is>
          <t>Revenue</t>
        </is>
      </c>
      <c r="D12" s="4" t="n">
        <v>360</v>
      </c>
    </row>
    <row r="13">
      <c r="B13" s="3" t="inlineStr">
        <is>
          <t>Parts used — Jamal W.</t>
        </is>
      </c>
      <c r="C13" s="7" t="inlineStr">
        <is>
          <t>Expense</t>
        </is>
      </c>
      <c r="D13" s="4" t="n">
        <v>-60</v>
      </c>
    </row>
    <row r="14">
      <c r="B14" s="3" t="inlineStr">
        <is>
          <t>Repair collected — Erin K.</t>
        </is>
      </c>
      <c r="C14" s="7" t="inlineStr">
        <is>
          <t>Revenue</t>
        </is>
      </c>
      <c r="D14" s="4" t="n">
        <v>225</v>
      </c>
    </row>
    <row r="15">
      <c r="B15" s="3" t="inlineStr">
        <is>
          <t>Parts used — Erin K.</t>
        </is>
      </c>
      <c r="C15" s="7" t="inlineStr">
        <is>
          <t>Expense</t>
        </is>
      </c>
      <c r="D15" s="4" t="n">
        <v>-40</v>
      </c>
    </row>
    <row r="16">
      <c r="B16" s="3" t="inlineStr">
        <is>
          <t>Repair collected — Noah B.</t>
        </is>
      </c>
      <c r="C16" s="7" t="inlineStr">
        <is>
          <t>Revenue</t>
        </is>
      </c>
      <c r="D16" s="4" t="n">
        <v>210</v>
      </c>
    </row>
    <row r="17">
      <c r="B17" s="3" t="inlineStr">
        <is>
          <t>Parts used — Noah B.</t>
        </is>
      </c>
      <c r="C17" s="7" t="inlineStr">
        <is>
          <t>Expense</t>
        </is>
      </c>
      <c r="D17" s="4" t="n">
        <v>-65</v>
      </c>
    </row>
    <row r="18">
      <c r="B18" s="3" t="inlineStr">
        <is>
          <t>Rent used — June</t>
        </is>
      </c>
      <c r="C18" s="7" t="inlineStr">
        <is>
          <t>Expense</t>
        </is>
      </c>
      <c r="D18" s="4" t="n">
        <v>-650</v>
      </c>
    </row>
    <row r="19">
      <c r="B19" s="3" t="inlineStr">
        <is>
          <t>Rent used — July</t>
        </is>
      </c>
      <c r="C19" s="7" t="inlineStr">
        <is>
          <t>Expense</t>
        </is>
      </c>
      <c r="D19" s="4" t="n">
        <v>-650</v>
      </c>
    </row>
    <row r="20">
      <c r="B20" s="3" t="inlineStr">
        <is>
          <t>Repair collected — Grace L.</t>
        </is>
      </c>
      <c r="C20" s="7" t="inlineStr">
        <is>
          <t>Revenue</t>
        </is>
      </c>
      <c r="D20" s="4" t="n">
        <v>240</v>
      </c>
    </row>
    <row r="21">
      <c r="B21" s="3" t="inlineStr">
        <is>
          <t>Parts used — Grace L.</t>
        </is>
      </c>
      <c r="C21" s="7" t="inlineStr">
        <is>
          <t>Expense</t>
        </is>
      </c>
      <c r="D21" s="4" t="n">
        <v>-35</v>
      </c>
    </row>
    <row r="22">
      <c r="B22" s="3" t="inlineStr">
        <is>
          <t>Repair collected — Theo H.</t>
        </is>
      </c>
      <c r="C22" s="7" t="inlineStr">
        <is>
          <t>Revenue</t>
        </is>
      </c>
      <c r="D22" s="4" t="n">
        <v>240</v>
      </c>
    </row>
    <row r="23">
      <c r="B23" s="3" t="inlineStr">
        <is>
          <t>Parts used — Theo H.</t>
        </is>
      </c>
      <c r="C23" s="7" t="inlineStr">
        <is>
          <t>Expense</t>
        </is>
      </c>
      <c r="D23" s="4" t="n">
        <v>-25</v>
      </c>
    </row>
    <row r="24">
      <c r="B24" s="3" t="inlineStr">
        <is>
          <t>Repair collected — Maya P.</t>
        </is>
      </c>
      <c r="C24" s="7" t="inlineStr">
        <is>
          <t>Revenue</t>
        </is>
      </c>
      <c r="D24" s="4" t="n">
        <v>450</v>
      </c>
    </row>
    <row r="25">
      <c r="B25" s="3" t="inlineStr">
        <is>
          <t>Parts used — Maya P.</t>
        </is>
      </c>
      <c r="C25" s="7" t="inlineStr">
        <is>
          <t>Expense</t>
        </is>
      </c>
      <c r="D25" s="4" t="n">
        <v>-125</v>
      </c>
    </row>
    <row r="26">
      <c r="B26" s="3" t="inlineStr">
        <is>
          <t>Repair collected — Owen C.</t>
        </is>
      </c>
      <c r="C26" s="7" t="inlineStr">
        <is>
          <t>Revenue</t>
        </is>
      </c>
      <c r="D26" s="4" t="n">
        <v>360</v>
      </c>
    </row>
    <row r="27">
      <c r="B27" s="3" t="inlineStr">
        <is>
          <t>Parts used — Owen C.</t>
        </is>
      </c>
      <c r="C27" s="7" t="inlineStr">
        <is>
          <t>Expense</t>
        </is>
      </c>
      <c r="D27" s="4" t="n">
        <v>-55</v>
      </c>
    </row>
    <row r="28">
      <c r="B28" s="3" t="inlineStr">
        <is>
          <t>Repair collected — Ava D.</t>
        </is>
      </c>
      <c r="C28" s="7" t="inlineStr">
        <is>
          <t>Revenue</t>
        </is>
      </c>
      <c r="D28" s="4" t="n">
        <v>270</v>
      </c>
    </row>
    <row r="29">
      <c r="B29" s="3" t="inlineStr">
        <is>
          <t>Parts used — Ava D.</t>
        </is>
      </c>
      <c r="C29" s="7" t="inlineStr">
        <is>
          <t>Expense</t>
        </is>
      </c>
      <c r="D29" s="4" t="n">
        <v>-45</v>
      </c>
    </row>
    <row r="30">
      <c r="B30" s="3" t="inlineStr">
        <is>
          <t>Repair collected — Leo F.</t>
        </is>
      </c>
      <c r="C30" s="7" t="inlineStr">
        <is>
          <t>Revenue</t>
        </is>
      </c>
      <c r="D30" s="4" t="n">
        <v>240</v>
      </c>
    </row>
    <row r="31">
      <c r="B31" s="3" t="inlineStr">
        <is>
          <t>Parts used — Leo F.</t>
        </is>
      </c>
      <c r="C31" s="7" t="inlineStr">
        <is>
          <t>Expense</t>
        </is>
      </c>
      <c r="D31" s="4" t="n">
        <v>-100</v>
      </c>
    </row>
    <row r="32">
      <c r="B32" s="3" t="inlineStr">
        <is>
          <t>Repair collected — Nina V.</t>
        </is>
      </c>
      <c r="C32" s="7" t="inlineStr">
        <is>
          <t>Revenue</t>
        </is>
      </c>
      <c r="D32" s="4" t="n">
        <v>300</v>
      </c>
    </row>
    <row r="33">
      <c r="B33" s="3" t="inlineStr">
        <is>
          <t>Parts used — Nina V.</t>
        </is>
      </c>
      <c r="C33" s="7" t="inlineStr">
        <is>
          <t>Expense</t>
        </is>
      </c>
      <c r="D33" s="4" t="n">
        <v>-80</v>
      </c>
    </row>
    <row r="34">
      <c r="B34" s="3" t="inlineStr">
        <is>
          <t>Rent used — August</t>
        </is>
      </c>
      <c r="C34" s="7" t="inlineStr">
        <is>
          <t>Expense</t>
        </is>
      </c>
      <c r="D34" s="4" t="n">
        <v>-650</v>
      </c>
    </row>
    <row r="35">
      <c r="B35" s="3" t="inlineStr">
        <is>
          <t>Repair collected — Caleb G.</t>
        </is>
      </c>
      <c r="C35" s="7" t="inlineStr">
        <is>
          <t>Revenue</t>
        </is>
      </c>
      <c r="D35" s="4" t="n">
        <v>240</v>
      </c>
    </row>
    <row r="36">
      <c r="B36" s="3" t="inlineStr">
        <is>
          <t>Parts used — Caleb G.</t>
        </is>
      </c>
      <c r="C36" s="7" t="inlineStr">
        <is>
          <t>Expense</t>
        </is>
      </c>
      <c r="D36" s="4" t="n">
        <v>-25</v>
      </c>
    </row>
    <row r="37">
      <c r="B37" s="3" t="inlineStr">
        <is>
          <t>Repair collected — Ruth A.</t>
        </is>
      </c>
      <c r="C37" s="7" t="inlineStr">
        <is>
          <t>Revenue</t>
        </is>
      </c>
      <c r="D37" s="4" t="n">
        <v>485</v>
      </c>
    </row>
    <row r="38">
      <c r="B38" s="3" t="inlineStr">
        <is>
          <t>Parts used — Ruth A.</t>
        </is>
      </c>
      <c r="C38" s="7" t="inlineStr">
        <is>
          <t>Expense</t>
        </is>
      </c>
      <c r="D38" s="4" t="n">
        <v>-129</v>
      </c>
    </row>
    <row r="39">
      <c r="B39" s="3" t="inlineStr">
        <is>
          <t>Repair collected — Sam Q.</t>
        </is>
      </c>
      <c r="C39" s="7" t="inlineStr">
        <is>
          <t>Revenue</t>
        </is>
      </c>
      <c r="D39" s="4" t="n">
        <v>390</v>
      </c>
    </row>
    <row r="40">
      <c r="B40" s="3" t="inlineStr">
        <is>
          <t>Parts used — Sam Q.</t>
        </is>
      </c>
      <c r="C40" s="7" t="inlineStr">
        <is>
          <t>Expense</t>
        </is>
      </c>
      <c r="D40" s="4" t="n">
        <v>-70</v>
      </c>
    </row>
    <row r="41">
      <c r="B41" s="3" t="inlineStr">
        <is>
          <t>Repair collected — Westville Bike Share</t>
        </is>
      </c>
      <c r="C41" s="7" t="inlineStr">
        <is>
          <t>Revenue</t>
        </is>
      </c>
      <c r="D41" s="4" t="n">
        <v>500</v>
      </c>
    </row>
    <row r="42">
      <c r="B42" s="3" t="inlineStr">
        <is>
          <t>Parts used — Westville Bike Share</t>
        </is>
      </c>
      <c r="C42" s="7" t="inlineStr">
        <is>
          <t>Expense</t>
        </is>
      </c>
      <c r="D42" s="4" t="n">
        <v>-105</v>
      </c>
    </row>
    <row r="43">
      <c r="B43" s="3" t="inlineStr">
        <is>
          <t>Repair delivered — Ridgeline Trail Crew, billed net 15 (unpaid)</t>
        </is>
      </c>
      <c r="C43" s="7" t="inlineStr">
        <is>
          <t>Revenue</t>
        </is>
      </c>
      <c r="D43" s="4" t="n">
        <v>300</v>
      </c>
    </row>
    <row r="44">
      <c r="B44" s="3" t="inlineStr">
        <is>
          <t>Parts used — Ridgeline Trail Crew</t>
        </is>
      </c>
      <c r="C44" s="7" t="inlineStr">
        <is>
          <t>Expense</t>
        </is>
      </c>
      <c r="D44" s="4" t="n">
        <v>-75</v>
      </c>
    </row>
    <row r="45">
      <c r="B45" s="3" t="inlineStr">
        <is>
          <t>Frame delivered — J. Smith (deposit earned)</t>
        </is>
      </c>
      <c r="C45" s="7" t="inlineStr">
        <is>
          <t>Revenue</t>
        </is>
      </c>
      <c r="D45" s="4" t="n">
        <v>220</v>
      </c>
    </row>
    <row r="46">
      <c r="B46" s="3" t="inlineStr">
        <is>
          <t>Parts used — J. Smith</t>
        </is>
      </c>
      <c r="C46" s="7" t="inlineStr">
        <is>
          <t>Expense</t>
        </is>
      </c>
      <c r="D46" s="4" t="n">
        <v>-36</v>
      </c>
    </row>
    <row r="47">
      <c r="B47" s="3" t="inlineStr">
        <is>
          <t>Depreciation — tools &amp; repair equipment, Summer 2026</t>
        </is>
      </c>
      <c r="C47" s="7" t="inlineStr">
        <is>
          <t>Expense</t>
        </is>
      </c>
      <c r="D47" s="4" t="n">
        <v>-160</v>
      </c>
    </row>
    <row r="48">
      <c r="B48" s="3" t="inlineStr">
        <is>
          <t>Depreciation — fixtures, Summer 2026</t>
        </is>
      </c>
      <c r="C48" s="7" t="inlineStr">
        <is>
          <t>Expense</t>
        </is>
      </c>
      <c r="D48" s="4" t="n">
        <v>-40</v>
      </c>
    </row>
    <row r="49">
      <c r="B49" s="3" t="inlineStr">
        <is>
          <t>Depreciation — laptop, Summer 2026</t>
        </is>
      </c>
      <c r="C49" s="7" t="inlineStr">
        <is>
          <t>Expense</t>
        </is>
      </c>
      <c r="D49" s="4" t="n">
        <v>-30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Income Statement</t>
        </is>
      </c>
    </row>
    <row r="2">
      <c r="B2" s="2" t="inlineStr">
        <is>
          <t>For the period June 1 – August 31, 2026</t>
        </is>
      </c>
    </row>
    <row r="3"/>
    <row r="4">
      <c r="B4" s="8" t="inlineStr">
        <is>
          <t>Revenue</t>
        </is>
      </c>
      <c r="C4" s="8" t="n"/>
      <c r="D4" s="8" t="n"/>
    </row>
    <row r="5" outlineLevel="1">
      <c r="B5" s="3" t="inlineStr">
        <is>
          <t>Repair collected — Dana R.</t>
        </is>
      </c>
      <c r="D5" s="4" t="n">
        <v>120</v>
      </c>
    </row>
    <row r="6" outlineLevel="1">
      <c r="B6" s="3" t="inlineStr">
        <is>
          <t>Repair collected — Marcus T.</t>
        </is>
      </c>
      <c r="D6" s="4" t="n">
        <v>150</v>
      </c>
    </row>
    <row r="7" outlineLevel="1">
      <c r="B7" s="3" t="inlineStr">
        <is>
          <t>Repair collected — Priya S.</t>
        </is>
      </c>
      <c r="D7" s="4" t="n">
        <v>270</v>
      </c>
    </row>
    <row r="8" outlineLevel="1">
      <c r="B8" s="3" t="inlineStr">
        <is>
          <t>Repair collected — Liam O.</t>
        </is>
      </c>
      <c r="D8" s="4" t="n">
        <v>300</v>
      </c>
    </row>
    <row r="9" outlineLevel="1">
      <c r="B9" s="3" t="inlineStr">
        <is>
          <t>Repair collected — Sofia M.</t>
        </is>
      </c>
      <c r="D9" s="4" t="n">
        <v>150</v>
      </c>
    </row>
    <row r="10" outlineLevel="1">
      <c r="B10" s="3" t="inlineStr">
        <is>
          <t>Repair collected — Jamal W.</t>
        </is>
      </c>
      <c r="D10" s="4" t="n">
        <v>360</v>
      </c>
    </row>
    <row r="11" outlineLevel="1">
      <c r="B11" s="3" t="inlineStr">
        <is>
          <t>Repair collected — Erin K.</t>
        </is>
      </c>
      <c r="D11" s="4" t="n">
        <v>225</v>
      </c>
    </row>
    <row r="12" outlineLevel="1">
      <c r="B12" s="3" t="inlineStr">
        <is>
          <t>Repair collected — Noah B.</t>
        </is>
      </c>
      <c r="D12" s="4" t="n">
        <v>210</v>
      </c>
    </row>
    <row r="13" outlineLevel="1">
      <c r="B13" s="3" t="inlineStr">
        <is>
          <t>Repair collected — Grace L.</t>
        </is>
      </c>
      <c r="D13" s="4" t="n">
        <v>240</v>
      </c>
    </row>
    <row r="14" outlineLevel="1">
      <c r="B14" s="3" t="inlineStr">
        <is>
          <t>Repair collected — Theo H.</t>
        </is>
      </c>
      <c r="D14" s="4" t="n">
        <v>240</v>
      </c>
    </row>
    <row r="15" outlineLevel="1">
      <c r="B15" s="3" t="inlineStr">
        <is>
          <t>Repair collected — Maya P.</t>
        </is>
      </c>
      <c r="D15" s="4" t="n">
        <v>450</v>
      </c>
    </row>
    <row r="16" outlineLevel="1">
      <c r="B16" s="3" t="inlineStr">
        <is>
          <t>Repair collected — Owen C.</t>
        </is>
      </c>
      <c r="D16" s="4" t="n">
        <v>360</v>
      </c>
    </row>
    <row r="17" outlineLevel="1">
      <c r="B17" s="3" t="inlineStr">
        <is>
          <t>Repair collected — Ava D.</t>
        </is>
      </c>
      <c r="D17" s="4" t="n">
        <v>270</v>
      </c>
    </row>
    <row r="18" outlineLevel="1">
      <c r="B18" s="3" t="inlineStr">
        <is>
          <t>Repair collected — Leo F.</t>
        </is>
      </c>
      <c r="D18" s="4" t="n">
        <v>240</v>
      </c>
    </row>
    <row r="19" outlineLevel="1">
      <c r="B19" s="3" t="inlineStr">
        <is>
          <t>Repair collected — Nina V.</t>
        </is>
      </c>
      <c r="D19" s="4" t="n">
        <v>300</v>
      </c>
    </row>
    <row r="20" outlineLevel="1">
      <c r="B20" s="3" t="inlineStr">
        <is>
          <t>Repair collected — Caleb G.</t>
        </is>
      </c>
      <c r="D20" s="4" t="n">
        <v>240</v>
      </c>
    </row>
    <row r="21" outlineLevel="1">
      <c r="B21" s="3" t="inlineStr">
        <is>
          <t>Repair collected — Ruth A.</t>
        </is>
      </c>
      <c r="D21" s="4" t="n">
        <v>485</v>
      </c>
    </row>
    <row r="22" outlineLevel="1">
      <c r="B22" s="3" t="inlineStr">
        <is>
          <t>Repair collected — Sam Q.</t>
        </is>
      </c>
      <c r="D22" s="4" t="n">
        <v>390</v>
      </c>
    </row>
    <row r="23" outlineLevel="1">
      <c r="B23" s="3" t="inlineStr">
        <is>
          <t>Repair collected — Westville Bike Share</t>
        </is>
      </c>
      <c r="D23" s="4" t="n">
        <v>500</v>
      </c>
    </row>
    <row r="24" outlineLevel="1">
      <c r="B24" s="3" t="inlineStr">
        <is>
          <t>Repair delivered — Ridgeline Trail Crew, billed net 15 (unpaid)</t>
        </is>
      </c>
      <c r="D24" s="4" t="n">
        <v>300</v>
      </c>
    </row>
    <row r="25" outlineLevel="1">
      <c r="B25" s="3" t="inlineStr">
        <is>
          <t>Frame delivered — J. Smith (deposit earned)</t>
        </is>
      </c>
      <c r="D25" s="4" t="n">
        <v>220</v>
      </c>
    </row>
    <row r="26">
      <c r="B26" s="9" t="inlineStr">
        <is>
          <t>Total revenue</t>
        </is>
      </c>
      <c r="C26" s="10" t="n"/>
      <c r="D26" s="11">
        <f>SUM(D5:D25)</f>
        <v>6020</v>
      </c>
    </row>
    <row r="27"/>
    <row r="28">
      <c r="B28" s="8" t="inlineStr">
        <is>
          <t>Expenses</t>
        </is>
      </c>
      <c r="C28" s="8" t="n"/>
      <c r="D28" s="8" t="n"/>
    </row>
    <row r="29" outlineLevel="1">
      <c r="B29" s="3" t="inlineStr">
        <is>
          <t>Rent used — June</t>
        </is>
      </c>
      <c r="D29" s="4" t="n">
        <v>-650</v>
      </c>
    </row>
    <row r="30" outlineLevel="1">
      <c r="B30" s="3" t="inlineStr">
        <is>
          <t>Parts used — Dana R.</t>
        </is>
      </c>
      <c r="D30" s="4" t="n">
        <v>-10</v>
      </c>
    </row>
    <row r="31" outlineLevel="1">
      <c r="B31" s="3" t="inlineStr">
        <is>
          <t>Parts used — Priya S.</t>
        </is>
      </c>
      <c r="D31" s="4" t="n">
        <v>-25</v>
      </c>
    </row>
    <row r="32" outlineLevel="1">
      <c r="B32" s="3" t="inlineStr">
        <is>
          <t>Parts used — Liam O.</t>
        </is>
      </c>
      <c r="D32" s="4" t="n">
        <v>-95</v>
      </c>
    </row>
    <row r="33" outlineLevel="1">
      <c r="B33" s="3" t="inlineStr">
        <is>
          <t>Parts used — Jamal W.</t>
        </is>
      </c>
      <c r="D33" s="4" t="n">
        <v>-60</v>
      </c>
    </row>
    <row r="34" outlineLevel="1">
      <c r="B34" s="3" t="inlineStr">
        <is>
          <t>Parts used — Erin K.</t>
        </is>
      </c>
      <c r="D34" s="4" t="n">
        <v>-40</v>
      </c>
    </row>
    <row r="35" outlineLevel="1">
      <c r="B35" s="3" t="inlineStr">
        <is>
          <t>Parts used — Noah B.</t>
        </is>
      </c>
      <c r="D35" s="4" t="n">
        <v>-65</v>
      </c>
    </row>
    <row r="36" outlineLevel="1">
      <c r="B36" s="3" t="inlineStr">
        <is>
          <t>Rent used — July</t>
        </is>
      </c>
      <c r="D36" s="4" t="n">
        <v>-650</v>
      </c>
    </row>
    <row r="37" outlineLevel="1">
      <c r="B37" s="3" t="inlineStr">
        <is>
          <t>Parts used — Grace L.</t>
        </is>
      </c>
      <c r="D37" s="4" t="n">
        <v>-35</v>
      </c>
    </row>
    <row r="38" outlineLevel="1">
      <c r="B38" s="3" t="inlineStr">
        <is>
          <t>Parts used — Theo H.</t>
        </is>
      </c>
      <c r="D38" s="4" t="n">
        <v>-25</v>
      </c>
    </row>
    <row r="39" outlineLevel="1">
      <c r="B39" s="3" t="inlineStr">
        <is>
          <t>Parts used — Maya P.</t>
        </is>
      </c>
      <c r="D39" s="4" t="n">
        <v>-125</v>
      </c>
    </row>
    <row r="40" outlineLevel="1">
      <c r="B40" s="3" t="inlineStr">
        <is>
          <t>Parts used — Owen C.</t>
        </is>
      </c>
      <c r="D40" s="4" t="n">
        <v>-55</v>
      </c>
    </row>
    <row r="41" outlineLevel="1">
      <c r="B41" s="3" t="inlineStr">
        <is>
          <t>Parts used — Ava D.</t>
        </is>
      </c>
      <c r="D41" s="4" t="n">
        <v>-45</v>
      </c>
    </row>
    <row r="42" outlineLevel="1">
      <c r="B42" s="3" t="inlineStr">
        <is>
          <t>Parts used — Leo F.</t>
        </is>
      </c>
      <c r="D42" s="4" t="n">
        <v>-100</v>
      </c>
    </row>
    <row r="43" outlineLevel="1">
      <c r="B43" s="3" t="inlineStr">
        <is>
          <t>Parts used — Nina V.</t>
        </is>
      </c>
      <c r="D43" s="4" t="n">
        <v>-80</v>
      </c>
    </row>
    <row r="44" outlineLevel="1">
      <c r="B44" s="3" t="inlineStr">
        <is>
          <t>Rent used — August</t>
        </is>
      </c>
      <c r="D44" s="4" t="n">
        <v>-650</v>
      </c>
    </row>
    <row r="45" outlineLevel="1">
      <c r="B45" s="3" t="inlineStr">
        <is>
          <t>Parts used — Caleb G.</t>
        </is>
      </c>
      <c r="D45" s="4" t="n">
        <v>-25</v>
      </c>
    </row>
    <row r="46" outlineLevel="1">
      <c r="B46" s="3" t="inlineStr">
        <is>
          <t>Parts used — Ruth A.</t>
        </is>
      </c>
      <c r="D46" s="4" t="n">
        <v>-129</v>
      </c>
    </row>
    <row r="47" outlineLevel="1">
      <c r="B47" s="3" t="inlineStr">
        <is>
          <t>Parts used — Sam Q.</t>
        </is>
      </c>
      <c r="D47" s="4" t="n">
        <v>-70</v>
      </c>
    </row>
    <row r="48" outlineLevel="1">
      <c r="B48" s="3" t="inlineStr">
        <is>
          <t>Parts used — Westville Bike Share</t>
        </is>
      </c>
      <c r="D48" s="4" t="n">
        <v>-105</v>
      </c>
    </row>
    <row r="49" outlineLevel="1">
      <c r="B49" s="3" t="inlineStr">
        <is>
          <t>Parts used — Ridgeline Trail Crew</t>
        </is>
      </c>
      <c r="D49" s="4" t="n">
        <v>-75</v>
      </c>
    </row>
    <row r="50" outlineLevel="1">
      <c r="B50" s="3" t="inlineStr">
        <is>
          <t>Parts used — J. Smith</t>
        </is>
      </c>
      <c r="D50" s="4" t="n">
        <v>-36</v>
      </c>
    </row>
    <row r="51" outlineLevel="1">
      <c r="B51" s="3" t="inlineStr">
        <is>
          <t>Depreciation — tools &amp; repair equipment, Summer 2026</t>
        </is>
      </c>
      <c r="D51" s="4" t="n">
        <v>-160</v>
      </c>
    </row>
    <row r="52" outlineLevel="1">
      <c r="B52" s="3" t="inlineStr">
        <is>
          <t>Depreciation — fixtures, Summer 2026</t>
        </is>
      </c>
      <c r="D52" s="4" t="n">
        <v>-40</v>
      </c>
    </row>
    <row r="53" outlineLevel="1">
      <c r="B53" s="3" t="inlineStr">
        <is>
          <t>Depreciation — laptop, Summer 2026</t>
        </is>
      </c>
      <c r="D53" s="4" t="n">
        <v>-30</v>
      </c>
    </row>
    <row r="54">
      <c r="B54" s="9" t="inlineStr">
        <is>
          <t>Total expenses</t>
        </is>
      </c>
      <c r="C54" s="10" t="n"/>
      <c r="D54" s="11">
        <f>SUM(D29:D53)</f>
        <v>-3380</v>
      </c>
    </row>
    <row r="55"/>
    <row r="56">
      <c r="B56" s="9" t="inlineStr">
        <is>
          <t>Net income</t>
        </is>
      </c>
      <c r="C56" s="10" t="n"/>
      <c r="D56" s="11">
        <f>D26+D54</f>
        <v>2640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10" defaultColWidth="8.83203125" defaultRowHeight="15"/>
  <cols>
    <col width="2" customWidth="1" min="1" max="1"/>
    <col width="50" customWidth="1" min="2" max="2"/>
    <col width="15" customWidth="1" min="3" max="3"/>
    <col width="14" customWidth="1" min="4" max="4"/>
  </cols>
  <sheetData>
    <row r="1" ht="19" customHeight="1">
      <c r="B1" s="1" t="inlineStr">
        <is>
          <t>Income Statement</t>
        </is>
      </c>
    </row>
    <row r="2">
      <c r="B2" s="2" t="inlineStr">
        <is>
          <t>For the period June 1 – August 31, 2026</t>
        </is>
      </c>
    </row>
    <row r="3"/>
    <row r="4">
      <c r="B4" s="9" t="inlineStr">
        <is>
          <t>Total revenue</t>
        </is>
      </c>
      <c r="C4" s="10" t="n"/>
      <c r="D4" s="11" t="n">
        <v>6020</v>
      </c>
    </row>
    <row r="5"/>
    <row r="6">
      <c r="B6" s="8" t="inlineStr">
        <is>
          <t>Expenses</t>
        </is>
      </c>
      <c r="C6" s="12" t="inlineStr">
        <is>
          <t>Kind</t>
        </is>
      </c>
      <c r="D6" s="8" t="n"/>
    </row>
    <row r="7">
      <c r="B7" s="3" t="inlineStr">
        <is>
          <t>Rent used — June</t>
        </is>
      </c>
      <c r="C7" s="7" t="inlineStr">
        <is>
          <t>Rent</t>
        </is>
      </c>
      <c r="D7" s="4" t="n">
        <v>-650</v>
      </c>
    </row>
    <row r="8">
      <c r="B8" s="3" t="inlineStr">
        <is>
          <t>Parts used — Dana R.</t>
        </is>
      </c>
      <c r="C8" s="7" t="inlineStr">
        <is>
          <t>Parts Used</t>
        </is>
      </c>
      <c r="D8" s="4" t="n">
        <v>-10</v>
      </c>
    </row>
    <row r="9">
      <c r="B9" s="3" t="inlineStr">
        <is>
          <t>Parts used — Priya S.</t>
        </is>
      </c>
      <c r="C9" s="7" t="inlineStr">
        <is>
          <t>Parts Used</t>
        </is>
      </c>
      <c r="D9" s="4" t="n">
        <v>-25</v>
      </c>
    </row>
    <row r="10">
      <c r="B10" s="3" t="inlineStr">
        <is>
          <t>Parts used — Liam O.</t>
        </is>
      </c>
      <c r="C10" s="7" t="inlineStr">
        <is>
          <t>Parts Used</t>
        </is>
      </c>
      <c r="D10" s="4" t="n">
        <v>-95</v>
      </c>
    </row>
    <row r="11">
      <c r="B11" s="3" t="inlineStr">
        <is>
          <t>Parts used — Jamal W.</t>
        </is>
      </c>
      <c r="C11" s="7" t="inlineStr">
        <is>
          <t>Parts Used</t>
        </is>
      </c>
      <c r="D11" s="4" t="n">
        <v>-60</v>
      </c>
    </row>
    <row r="12">
      <c r="B12" s="3" t="inlineStr">
        <is>
          <t>Parts used — Erin K.</t>
        </is>
      </c>
      <c r="C12" s="7" t="inlineStr">
        <is>
          <t>Parts Used</t>
        </is>
      </c>
      <c r="D12" s="4" t="n">
        <v>-40</v>
      </c>
    </row>
    <row r="13">
      <c r="B13" s="3" t="inlineStr">
        <is>
          <t>Parts used — Noah B.</t>
        </is>
      </c>
      <c r="C13" s="7" t="inlineStr">
        <is>
          <t>Parts Used</t>
        </is>
      </c>
      <c r="D13" s="4" t="n">
        <v>-65</v>
      </c>
    </row>
    <row r="14">
      <c r="B14" s="3" t="inlineStr">
        <is>
          <t>Rent used — July</t>
        </is>
      </c>
      <c r="C14" s="7" t="inlineStr">
        <is>
          <t>Rent</t>
        </is>
      </c>
      <c r="D14" s="4" t="n">
        <v>-650</v>
      </c>
    </row>
    <row r="15">
      <c r="B15" s="3" t="inlineStr">
        <is>
          <t>Parts used — Grace L.</t>
        </is>
      </c>
      <c r="C15" s="7" t="inlineStr">
        <is>
          <t>Parts Used</t>
        </is>
      </c>
      <c r="D15" s="4" t="n">
        <v>-35</v>
      </c>
    </row>
    <row r="16">
      <c r="B16" s="3" t="inlineStr">
        <is>
          <t>Parts used — Theo H.</t>
        </is>
      </c>
      <c r="C16" s="7" t="inlineStr">
        <is>
          <t>Parts Used</t>
        </is>
      </c>
      <c r="D16" s="4" t="n">
        <v>-25</v>
      </c>
    </row>
    <row r="17">
      <c r="B17" s="3" t="inlineStr">
        <is>
          <t>Parts used — Maya P.</t>
        </is>
      </c>
      <c r="C17" s="7" t="inlineStr">
        <is>
          <t>Parts Used</t>
        </is>
      </c>
      <c r="D17" s="4" t="n">
        <v>-125</v>
      </c>
    </row>
    <row r="18">
      <c r="B18" s="3" t="inlineStr">
        <is>
          <t>Parts used — Owen C.</t>
        </is>
      </c>
      <c r="C18" s="7" t="inlineStr">
        <is>
          <t>Parts Used</t>
        </is>
      </c>
      <c r="D18" s="4" t="n">
        <v>-55</v>
      </c>
    </row>
    <row r="19">
      <c r="B19" s="3" t="inlineStr">
        <is>
          <t>Parts used — Ava D.</t>
        </is>
      </c>
      <c r="C19" s="7" t="inlineStr">
        <is>
          <t>Parts Used</t>
        </is>
      </c>
      <c r="D19" s="4" t="n">
        <v>-45</v>
      </c>
    </row>
    <row r="20">
      <c r="B20" s="3" t="inlineStr">
        <is>
          <t>Parts used — Leo F.</t>
        </is>
      </c>
      <c r="C20" s="7" t="inlineStr">
        <is>
          <t>Parts Used</t>
        </is>
      </c>
      <c r="D20" s="4" t="n">
        <v>-100</v>
      </c>
    </row>
    <row r="21">
      <c r="B21" s="3" t="inlineStr">
        <is>
          <t>Parts used — Nina V.</t>
        </is>
      </c>
      <c r="C21" s="7" t="inlineStr">
        <is>
          <t>Parts Used</t>
        </is>
      </c>
      <c r="D21" s="4" t="n">
        <v>-80</v>
      </c>
    </row>
    <row r="22">
      <c r="B22" s="3" t="inlineStr">
        <is>
          <t>Rent used — August</t>
        </is>
      </c>
      <c r="C22" s="7" t="inlineStr">
        <is>
          <t>Rent</t>
        </is>
      </c>
      <c r="D22" s="4" t="n">
        <v>-650</v>
      </c>
    </row>
    <row r="23">
      <c r="B23" s="3" t="inlineStr">
        <is>
          <t>Parts used — Caleb G.</t>
        </is>
      </c>
      <c r="C23" s="7" t="inlineStr">
        <is>
          <t>Parts Used</t>
        </is>
      </c>
      <c r="D23" s="4" t="n">
        <v>-25</v>
      </c>
    </row>
    <row r="24">
      <c r="B24" s="3" t="inlineStr">
        <is>
          <t>Parts used — Ruth A.</t>
        </is>
      </c>
      <c r="C24" s="7" t="inlineStr">
        <is>
          <t>Parts Used</t>
        </is>
      </c>
      <c r="D24" s="4" t="n">
        <v>-129</v>
      </c>
    </row>
    <row r="25">
      <c r="B25" s="3" t="inlineStr">
        <is>
          <t>Parts used — Sam Q.</t>
        </is>
      </c>
      <c r="C25" s="7" t="inlineStr">
        <is>
          <t>Parts Used</t>
        </is>
      </c>
      <c r="D25" s="4" t="n">
        <v>-70</v>
      </c>
    </row>
    <row r="26">
      <c r="B26" s="3" t="inlineStr">
        <is>
          <t>Parts used — Westville Bike Share</t>
        </is>
      </c>
      <c r="C26" s="7" t="inlineStr">
        <is>
          <t>Parts Used</t>
        </is>
      </c>
      <c r="D26" s="4" t="n">
        <v>-105</v>
      </c>
    </row>
    <row r="27">
      <c r="B27" s="3" t="inlineStr">
        <is>
          <t>Parts used — Ridgeline Trail Crew</t>
        </is>
      </c>
      <c r="C27" s="7" t="inlineStr">
        <is>
          <t>Parts Used</t>
        </is>
      </c>
      <c r="D27" s="4" t="n">
        <v>-75</v>
      </c>
    </row>
    <row r="28">
      <c r="B28" s="3" t="inlineStr">
        <is>
          <t>Parts used — J. Smith</t>
        </is>
      </c>
      <c r="C28" s="7" t="inlineStr">
        <is>
          <t>Parts Used</t>
        </is>
      </c>
      <c r="D28" s="4" t="n">
        <v>-36</v>
      </c>
    </row>
    <row r="29">
      <c r="B29" s="3" t="inlineStr">
        <is>
          <t>Depreciation — tools &amp; repair equipment, Summer 2026</t>
        </is>
      </c>
      <c r="C29" s="7" t="inlineStr">
        <is>
          <t>Depreciation</t>
        </is>
      </c>
      <c r="D29" s="4" t="n">
        <v>-160</v>
      </c>
    </row>
    <row r="30">
      <c r="B30" s="3" t="inlineStr">
        <is>
          <t>Depreciation — fixtures, Summer 2026</t>
        </is>
      </c>
      <c r="C30" s="7" t="inlineStr">
        <is>
          <t>Depreciation</t>
        </is>
      </c>
      <c r="D30" s="4" t="n">
        <v>-40</v>
      </c>
    </row>
    <row r="31">
      <c r="B31" s="3" t="inlineStr">
        <is>
          <t>Depreciation — laptop, Summer 2026</t>
        </is>
      </c>
      <c r="C31" s="7" t="inlineStr">
        <is>
          <t>Depreciation</t>
        </is>
      </c>
      <c r="D31" s="4" t="n">
        <v>-30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Income Statement</t>
        </is>
      </c>
    </row>
    <row r="2">
      <c r="B2" s="2" t="inlineStr">
        <is>
          <t>For the period June 1 – August 31, 2026</t>
        </is>
      </c>
    </row>
    <row r="3"/>
    <row r="4">
      <c r="B4" s="9" t="inlineStr">
        <is>
          <t>Total revenue</t>
        </is>
      </c>
      <c r="C4" s="10" t="n"/>
      <c r="D4" s="11" t="n">
        <v>6020</v>
      </c>
    </row>
    <row r="5"/>
    <row r="6">
      <c r="B6" s="8" t="inlineStr">
        <is>
          <t>Expenses</t>
        </is>
      </c>
      <c r="C6" s="8" t="n"/>
      <c r="D6" s="8" t="n"/>
    </row>
    <row r="7">
      <c r="B7" s="13" t="inlineStr">
        <is>
          <t>Parts Used</t>
        </is>
      </c>
    </row>
    <row r="8" outlineLevel="1">
      <c r="B8" s="3" t="inlineStr">
        <is>
          <t xml:space="preserve">    Parts used — Dana R.</t>
        </is>
      </c>
      <c r="D8" s="4" t="n">
        <v>-10</v>
      </c>
    </row>
    <row r="9" outlineLevel="1">
      <c r="B9" s="3" t="inlineStr">
        <is>
          <t xml:space="preserve">    Parts used — Priya S.</t>
        </is>
      </c>
      <c r="D9" s="4" t="n">
        <v>-25</v>
      </c>
    </row>
    <row r="10" outlineLevel="1">
      <c r="B10" s="3" t="inlineStr">
        <is>
          <t xml:space="preserve">    Parts used — Liam O.</t>
        </is>
      </c>
      <c r="D10" s="4" t="n">
        <v>-95</v>
      </c>
    </row>
    <row r="11" outlineLevel="1">
      <c r="B11" s="3" t="inlineStr">
        <is>
          <t xml:space="preserve">    Parts used — Jamal W.</t>
        </is>
      </c>
      <c r="D11" s="4" t="n">
        <v>-60</v>
      </c>
    </row>
    <row r="12" outlineLevel="1">
      <c r="B12" s="3" t="inlineStr">
        <is>
          <t xml:space="preserve">    Parts used — Erin K.</t>
        </is>
      </c>
      <c r="D12" s="4" t="n">
        <v>-40</v>
      </c>
    </row>
    <row r="13" outlineLevel="1">
      <c r="B13" s="3" t="inlineStr">
        <is>
          <t xml:space="preserve">    Parts used — Noah B.</t>
        </is>
      </c>
      <c r="D13" s="4" t="n">
        <v>-65</v>
      </c>
    </row>
    <row r="14" outlineLevel="1">
      <c r="B14" s="3" t="inlineStr">
        <is>
          <t xml:space="preserve">    Parts used — Grace L.</t>
        </is>
      </c>
      <c r="D14" s="4" t="n">
        <v>-35</v>
      </c>
    </row>
    <row r="15" outlineLevel="1">
      <c r="B15" s="3" t="inlineStr">
        <is>
          <t xml:space="preserve">    Parts used — Theo H.</t>
        </is>
      </c>
      <c r="D15" s="4" t="n">
        <v>-25</v>
      </c>
    </row>
    <row r="16" outlineLevel="1">
      <c r="B16" s="3" t="inlineStr">
        <is>
          <t xml:space="preserve">    Parts used — Maya P.</t>
        </is>
      </c>
      <c r="D16" s="4" t="n">
        <v>-125</v>
      </c>
    </row>
    <row r="17" outlineLevel="1">
      <c r="B17" s="3" t="inlineStr">
        <is>
          <t xml:space="preserve">    Parts used — Owen C.</t>
        </is>
      </c>
      <c r="D17" s="4" t="n">
        <v>-55</v>
      </c>
    </row>
    <row r="18" outlineLevel="1">
      <c r="B18" s="3" t="inlineStr">
        <is>
          <t xml:space="preserve">    Parts used — Ava D.</t>
        </is>
      </c>
      <c r="D18" s="4" t="n">
        <v>-45</v>
      </c>
    </row>
    <row r="19" outlineLevel="1">
      <c r="B19" s="3" t="inlineStr">
        <is>
          <t xml:space="preserve">    Parts used — Leo F.</t>
        </is>
      </c>
      <c r="D19" s="4" t="n">
        <v>-100</v>
      </c>
    </row>
    <row r="20" outlineLevel="1">
      <c r="B20" s="3" t="inlineStr">
        <is>
          <t xml:space="preserve">    Parts used — Nina V.</t>
        </is>
      </c>
      <c r="D20" s="4" t="n">
        <v>-80</v>
      </c>
    </row>
    <row r="21" outlineLevel="1">
      <c r="B21" s="3" t="inlineStr">
        <is>
          <t xml:space="preserve">    Parts used — Caleb G.</t>
        </is>
      </c>
      <c r="D21" s="4" t="n">
        <v>-25</v>
      </c>
    </row>
    <row r="22" outlineLevel="1">
      <c r="B22" s="3" t="inlineStr">
        <is>
          <t xml:space="preserve">    Parts used — Ruth A.</t>
        </is>
      </c>
      <c r="D22" s="4" t="n">
        <v>-129</v>
      </c>
    </row>
    <row r="23" outlineLevel="1">
      <c r="B23" s="3" t="inlineStr">
        <is>
          <t xml:space="preserve">    Parts used — Sam Q.</t>
        </is>
      </c>
      <c r="D23" s="4" t="n">
        <v>-70</v>
      </c>
    </row>
    <row r="24" outlineLevel="1">
      <c r="B24" s="3" t="inlineStr">
        <is>
          <t xml:space="preserve">    Parts used — Westville Bike Share</t>
        </is>
      </c>
      <c r="D24" s="4" t="n">
        <v>-105</v>
      </c>
    </row>
    <row r="25" outlineLevel="1">
      <c r="B25" s="3" t="inlineStr">
        <is>
          <t xml:space="preserve">    Parts used — Ridgeline Trail Crew</t>
        </is>
      </c>
      <c r="D25" s="4" t="n">
        <v>-75</v>
      </c>
    </row>
    <row r="26" outlineLevel="1">
      <c r="B26" s="3" t="inlineStr">
        <is>
          <t xml:space="preserve">    Parts used — J. Smith</t>
        </is>
      </c>
      <c r="D26" s="4" t="n">
        <v>-36</v>
      </c>
    </row>
    <row r="27">
      <c r="B27" s="3" t="inlineStr">
        <is>
          <t>Parts Used — subtotal</t>
        </is>
      </c>
      <c r="D27" s="14">
        <f>SUM(D8:D26)</f>
        <v>-1200</v>
      </c>
    </row>
    <row r="28"/>
    <row r="29">
      <c r="B29" s="13" t="inlineStr">
        <is>
          <t>Rent</t>
        </is>
      </c>
    </row>
    <row r="30" outlineLevel="1">
      <c r="B30" s="3" t="inlineStr">
        <is>
          <t xml:space="preserve">    Rent used — June</t>
        </is>
      </c>
      <c r="D30" s="4" t="n">
        <v>-650</v>
      </c>
    </row>
    <row r="31" outlineLevel="1">
      <c r="B31" s="3" t="inlineStr">
        <is>
          <t xml:space="preserve">    Rent used — July</t>
        </is>
      </c>
      <c r="D31" s="4" t="n">
        <v>-650</v>
      </c>
    </row>
    <row r="32" outlineLevel="1">
      <c r="B32" s="3" t="inlineStr">
        <is>
          <t xml:space="preserve">    Rent used — August</t>
        </is>
      </c>
      <c r="D32" s="4" t="n">
        <v>-650</v>
      </c>
    </row>
    <row r="33">
      <c r="B33" s="3" t="inlineStr">
        <is>
          <t>Rent — subtotal</t>
        </is>
      </c>
      <c r="D33" s="14">
        <f>SUM(D30:D32)</f>
        <v>-1950</v>
      </c>
    </row>
    <row r="34"/>
    <row r="35">
      <c r="B35" s="13" t="inlineStr">
        <is>
          <t>Depreciation</t>
        </is>
      </c>
    </row>
    <row r="36" outlineLevel="1">
      <c r="B36" s="3" t="inlineStr">
        <is>
          <t xml:space="preserve">    Depreciation — tools &amp; repair equipment, Summer 2026</t>
        </is>
      </c>
      <c r="D36" s="4" t="n">
        <v>-160</v>
      </c>
    </row>
    <row r="37" outlineLevel="1">
      <c r="B37" s="3" t="inlineStr">
        <is>
          <t xml:space="preserve">    Depreciation — fixtures, Summer 2026</t>
        </is>
      </c>
      <c r="D37" s="4" t="n">
        <v>-40</v>
      </c>
    </row>
    <row r="38" outlineLevel="1">
      <c r="B38" s="3" t="inlineStr">
        <is>
          <t xml:space="preserve">    Depreciation — laptop, Summer 2026</t>
        </is>
      </c>
      <c r="D38" s="4" t="n">
        <v>-30</v>
      </c>
    </row>
    <row r="39">
      <c r="B39" s="3" t="inlineStr">
        <is>
          <t>Depreciation — subtotal</t>
        </is>
      </c>
      <c r="D39" s="14">
        <f>SUM(D36:D38)</f>
        <v>-230</v>
      </c>
    </row>
    <row r="40"/>
    <row r="41">
      <c r="B41" s="9" t="inlineStr">
        <is>
          <t>Total expenses</t>
        </is>
      </c>
      <c r="C41" s="10" t="n"/>
      <c r="D41" s="11">
        <f>D27+D33+D39</f>
        <v>-3380</v>
      </c>
    </row>
    <row r="42"/>
    <row r="43">
      <c r="B43" s="9" t="inlineStr">
        <is>
          <t>Net income</t>
        </is>
      </c>
      <c r="C43" s="10" t="n"/>
      <c r="D43" s="11">
        <f>6020+D41</f>
        <v>2640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="160" zoomScaleNormal="160" workbookViewId="0">
      <selection activeCell="K33" sqref="K33"/>
    </sheetView>
  </sheetViews>
  <sheetFormatPr baseColWidth="10" defaultColWidth="8.83203125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Income Statement</t>
        </is>
      </c>
    </row>
    <row r="2">
      <c r="B2" s="2" t="inlineStr">
        <is>
          <t>For the period June 1 – August 31, 2026</t>
        </is>
      </c>
    </row>
    <row r="3"/>
    <row r="4">
      <c r="B4" s="8" t="inlineStr">
        <is>
          <t>Revenue</t>
        </is>
      </c>
      <c r="C4" s="8" t="n"/>
      <c r="D4" s="8" t="n"/>
    </row>
    <row r="5">
      <c r="B5" s="3" t="inlineStr">
        <is>
          <t>Repair services</t>
        </is>
      </c>
      <c r="D5" s="15" t="n">
        <v>6020</v>
      </c>
    </row>
    <row r="6">
      <c r="B6" s="9" t="inlineStr">
        <is>
          <t>Total revenue</t>
        </is>
      </c>
      <c r="C6" s="10" t="n"/>
      <c r="D6" s="16">
        <f>D5</f>
        <v>6020</v>
      </c>
    </row>
    <row r="7"/>
    <row r="8">
      <c r="B8" s="8" t="inlineStr">
        <is>
          <t>Expenses</t>
        </is>
      </c>
      <c r="C8" s="8" t="n"/>
      <c r="D8" s="8" t="n"/>
    </row>
    <row r="9">
      <c r="B9" s="3" t="inlineStr">
        <is>
          <t>Parts used</t>
        </is>
      </c>
      <c r="D9" s="15" t="n">
        <v>1200</v>
      </c>
    </row>
    <row r="10">
      <c r="B10" s="3" t="inlineStr">
        <is>
          <t>Rent</t>
        </is>
      </c>
      <c r="D10" s="17" t="n">
        <v>1950</v>
      </c>
    </row>
    <row r="11">
      <c r="B11" s="3" t="inlineStr">
        <is>
          <t>Depreciation</t>
        </is>
      </c>
      <c r="D11" s="17" t="n">
        <v>230</v>
      </c>
    </row>
    <row r="12">
      <c r="B12" s="9" t="inlineStr">
        <is>
          <t>Total expenses</t>
        </is>
      </c>
      <c r="C12" s="10" t="n"/>
      <c r="D12" s="16">
        <f>SUM(D9:D11)</f>
        <v>3380</v>
      </c>
    </row>
    <row r="13"/>
    <row r="14">
      <c r="B14" s="9" t="inlineStr">
        <is>
          <t>Net income</t>
        </is>
      </c>
      <c r="C14" s="10" t="n"/>
      <c r="D14" s="16">
        <f>D6-D12</f>
        <v>2640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2026-07-13T18:48:25Z</dcterms:created>
  <dcterms:modified xsi:type="dcterms:W3CDTF">2026-08-09T03:51:45Z</dcterms:modified>
  <cp:lastModifiedBy>Antle, Rick</cp:lastModifiedBy>
</cp:coreProperties>
</file>