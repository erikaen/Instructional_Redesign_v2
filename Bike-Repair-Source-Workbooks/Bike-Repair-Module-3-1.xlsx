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2080" windowWidth="258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6"/>
  <sheetViews>
    <sheetView tabSelected="1" zoomScale="214" zoomScaleNormal="214" workbookViewId="0">
      <selection activeCell="B128" sqref="B1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7">
      <c r="B47" s="6" t="inlineStr">
        <is>
          <t>Right of Use</t>
        </is>
      </c>
      <c r="C47" s="11" t="n"/>
      <c r="D47" s="11" t="n"/>
    </row>
    <row r="48" hidden="1" outlineLevel="1">
      <c r="B48" s="3" t="inlineStr">
        <is>
          <t>Last month's rent, paid in advance (on deposit)</t>
        </is>
      </c>
      <c r="D48" s="4" t="n">
        <v>650</v>
      </c>
    </row>
    <row r="49" collapsed="1">
      <c r="B49" s="16" t="inlineStr">
        <is>
          <t>Balance, June 1, 2026</t>
        </is>
      </c>
      <c r="C49" s="17" t="n"/>
      <c r="D49" s="13">
        <f>D48</f>
        <v>650</v>
        <v/>
      </c>
    </row>
    <row r="50">
      <c r="B50" s="16" t="inlineStr">
        <is>
          <t>Balance, August 31, 2026</t>
        </is>
      </c>
      <c r="C50" s="17" t="n"/>
      <c r="D50" s="13">
        <f>D48</f>
        <v>650</v>
        <v/>
      </c>
    </row>
    <row r="52">
      <c r="B52" s="6" t="inlineStr">
        <is>
          <t>Parts</t>
        </is>
      </c>
      <c r="C52" s="11" t="n"/>
      <c r="D52" s="11" t="n"/>
    </row>
    <row r="53" hidden="1" outlineLevel="1">
      <c r="B53" s="3" t="inlineStr">
        <is>
          <t>Chains</t>
        </is>
      </c>
      <c r="D53" s="4" t="n">
        <v>50</v>
      </c>
    </row>
    <row r="54" hidden="1" outlineLevel="1">
      <c r="B54" s="3" t="inlineStr">
        <is>
          <t>Brake pads</t>
        </is>
      </c>
      <c r="D54" s="4" t="n">
        <v>40</v>
      </c>
    </row>
    <row r="55" hidden="1" outlineLevel="1">
      <c r="B55" s="3" t="inlineStr">
        <is>
          <t>Derailleur cables</t>
        </is>
      </c>
      <c r="D55" s="4" t="n">
        <v>20</v>
      </c>
    </row>
    <row r="56" hidden="1" outlineLevel="1">
      <c r="B56" s="3" t="inlineStr">
        <is>
          <t>Cassettes</t>
        </is>
      </c>
      <c r="D56" s="4" t="n">
        <v>40</v>
      </c>
    </row>
    <row r="57" hidden="1" outlineLevel="1">
      <c r="B57" s="3" t="inlineStr">
        <is>
          <t>Bottom brackets</t>
        </is>
      </c>
      <c r="D57" s="4" t="n">
        <v>20</v>
      </c>
    </row>
    <row r="58" hidden="1" outlineLevel="1">
      <c r="B58" s="3" t="inlineStr">
        <is>
          <t>Spokes</t>
        </is>
      </c>
      <c r="D58" s="4" t="n">
        <v>20</v>
      </c>
    </row>
    <row r="59" hidden="1" outlineLevel="1">
      <c r="B59" s="3" t="inlineStr">
        <is>
          <t>Tubes</t>
        </is>
      </c>
      <c r="D59" s="4" t="n">
        <v>10</v>
      </c>
    </row>
    <row r="60" collapsed="1">
      <c r="B60" s="16" t="inlineStr">
        <is>
          <t>Balance, June 1, 2026</t>
        </is>
      </c>
      <c r="C60" s="17" t="n"/>
      <c r="D60" s="13">
        <f>SUBTOTAL(9,D53:D59)</f>
        <v>200</v>
        <v/>
      </c>
    </row>
    <row r="61" hidden="1" outlineLevel="1">
      <c r="B61" s="3" t="inlineStr">
        <is>
          <t>Chains ×10 (June)</t>
        </is>
      </c>
      <c r="D61" s="4" t="n">
        <v>150</v>
      </c>
    </row>
    <row r="62" hidden="1" outlineLevel="1">
      <c r="B62" s="3" t="inlineStr">
        <is>
          <t>11-spd cassettes ×4 (June)</t>
        </is>
      </c>
      <c r="D62" s="4" t="n">
        <v>160</v>
      </c>
    </row>
    <row r="63" hidden="1" outlineLevel="1">
      <c r="B63" s="3" t="inlineStr">
        <is>
          <t>Brake pad sets ×12 (June)</t>
        </is>
      </c>
      <c r="D63" s="4" t="n">
        <v>90</v>
      </c>
    </row>
    <row r="64" hidden="1" outlineLevel="1">
      <c r="B64" s="3" t="inlineStr">
        <is>
          <t>Cables + housing (assorted) (June)</t>
        </is>
      </c>
      <c r="D64" s="4" t="n">
        <v>60</v>
      </c>
    </row>
    <row r="65" hidden="1" outlineLevel="1">
      <c r="B65" s="3" t="inlineStr">
        <is>
          <t>Tubes ×10 (June)</t>
        </is>
      </c>
      <c r="D65" s="4" t="n">
        <v>40</v>
      </c>
    </row>
    <row r="66" hidden="1" outlineLevel="1">
      <c r="B66" s="3" t="inlineStr">
        <is>
          <t>Chainrings + jockey wheels (July)</t>
        </is>
      </c>
      <c r="D66" s="4" t="n">
        <v>120</v>
      </c>
    </row>
    <row r="67" hidden="1" outlineLevel="1">
      <c r="B67" s="3" t="inlineStr">
        <is>
          <t>Bottom brackets ×3 (July)</t>
        </is>
      </c>
      <c r="D67" s="4" t="n">
        <v>105</v>
      </c>
    </row>
    <row r="68" hidden="1" outlineLevel="1">
      <c r="B68" s="3" t="inlineStr">
        <is>
          <t>Shift cables + housing (July)</t>
        </is>
      </c>
      <c r="D68" s="4" t="n">
        <v>75</v>
      </c>
    </row>
    <row r="69" hidden="1" outlineLevel="1">
      <c r="B69" s="3" t="inlineStr">
        <is>
          <t>Tubeless sealant + valves (July)</t>
        </is>
      </c>
      <c r="D69" s="4" t="n">
        <v>60</v>
      </c>
    </row>
    <row r="70" hidden="1" outlineLevel="1">
      <c r="B70" s="3" t="inlineStr">
        <is>
          <t>Spokes + nipples (July)</t>
        </is>
      </c>
      <c r="D70" s="4" t="n">
        <v>40</v>
      </c>
    </row>
    <row r="71" hidden="1" outlineLevel="1">
      <c r="B71" s="3" t="inlineStr">
        <is>
          <t>Tires ×4 (August)</t>
        </is>
      </c>
      <c r="D71" s="4" t="n">
        <v>130</v>
      </c>
    </row>
    <row r="72" hidden="1" outlineLevel="1">
      <c r="B72" s="3" t="inlineStr">
        <is>
          <t>Brake pads (assorted) (August)</t>
        </is>
      </c>
      <c r="D72" s="4" t="n">
        <v>70</v>
      </c>
    </row>
    <row r="73" hidden="1" outlineLevel="1">
      <c r="B73" s="3" t="inlineStr">
        <is>
          <t>Cables + housing (August)</t>
        </is>
      </c>
      <c r="D73" s="4" t="n">
        <v>50</v>
      </c>
    </row>
    <row r="74" hidden="1" outlineLevel="1">
      <c r="B74" s="3" t="inlineStr">
        <is>
          <t>Tubes ×8 (August)</t>
        </is>
      </c>
      <c r="D74" s="4" t="n">
        <v>30</v>
      </c>
    </row>
    <row r="75" hidden="1" outlineLevel="1">
      <c r="B75" s="3" t="inlineStr">
        <is>
          <t>Small parts (bolts, tape) (August)</t>
        </is>
      </c>
      <c r="D75" s="4" t="n">
        <v>20</v>
      </c>
    </row>
    <row r="76" hidden="1" outlineLevel="1">
      <c r="B76" s="3" t="inlineStr">
        <is>
          <t>Parts used — Dana R.</t>
        </is>
      </c>
      <c r="D76" s="4" t="n">
        <v>-10</v>
      </c>
    </row>
    <row r="77" hidden="1" outlineLevel="1">
      <c r="B77" s="3" t="inlineStr">
        <is>
          <t>Parts used — Priya S.</t>
        </is>
      </c>
      <c r="D77" s="4" t="n">
        <v>-25</v>
      </c>
    </row>
    <row r="78" hidden="1" outlineLevel="1">
      <c r="B78" s="3" t="inlineStr">
        <is>
          <t>Parts used — Liam O.</t>
        </is>
      </c>
      <c r="D78" s="4" t="n">
        <v>-95</v>
      </c>
    </row>
    <row r="79" hidden="1" outlineLevel="1">
      <c r="B79" s="3" t="inlineStr">
        <is>
          <t>Parts used — Jamal W.</t>
        </is>
      </c>
      <c r="D79" s="4" t="n">
        <v>-60</v>
      </c>
    </row>
    <row r="80" hidden="1" outlineLevel="1">
      <c r="B80" s="3" t="inlineStr">
        <is>
          <t>Parts used — Erin K.</t>
        </is>
      </c>
      <c r="D80" s="4" t="n">
        <v>-40</v>
      </c>
    </row>
    <row r="81" hidden="1" outlineLevel="1">
      <c r="B81" s="3" t="inlineStr">
        <is>
          <t>Parts used — Noah B.</t>
        </is>
      </c>
      <c r="D81" s="4" t="n">
        <v>-65</v>
      </c>
    </row>
    <row r="82" hidden="1" outlineLevel="1">
      <c r="B82" s="3" t="inlineStr">
        <is>
          <t>Parts used — Grace L.</t>
        </is>
      </c>
      <c r="D82" s="4" t="n">
        <v>-35</v>
      </c>
    </row>
    <row r="83" hidden="1" outlineLevel="1">
      <c r="B83" s="3" t="inlineStr">
        <is>
          <t>Parts used — Theo H.</t>
        </is>
      </c>
      <c r="D83" s="4" t="n">
        <v>-25</v>
      </c>
    </row>
    <row r="84" hidden="1" outlineLevel="1">
      <c r="B84" s="3" t="inlineStr">
        <is>
          <t>Parts used — Maya P.</t>
        </is>
      </c>
      <c r="D84" s="4" t="n">
        <v>-125</v>
      </c>
    </row>
    <row r="85" hidden="1" outlineLevel="1">
      <c r="B85" s="3" t="inlineStr">
        <is>
          <t>Parts used — Owen C.</t>
        </is>
      </c>
      <c r="D85" s="4" t="n">
        <v>-55</v>
      </c>
    </row>
    <row r="86" hidden="1" outlineLevel="1">
      <c r="B86" s="3" t="inlineStr">
        <is>
          <t>Parts used — Ava D.</t>
        </is>
      </c>
      <c r="D86" s="4" t="n">
        <v>-45</v>
      </c>
    </row>
    <row r="87" hidden="1" outlineLevel="1">
      <c r="B87" s="3" t="inlineStr">
        <is>
          <t>Parts used — Leo F.</t>
        </is>
      </c>
      <c r="D87" s="4" t="n">
        <v>-100</v>
      </c>
    </row>
    <row r="88" hidden="1" outlineLevel="1">
      <c r="B88" s="3" t="inlineStr">
        <is>
          <t>Parts used — Nina V.</t>
        </is>
      </c>
      <c r="D88" s="4" t="n">
        <v>-80</v>
      </c>
    </row>
    <row r="89" hidden="1" outlineLevel="1">
      <c r="B89" s="3" t="inlineStr">
        <is>
          <t>Parts used — Caleb G.</t>
        </is>
      </c>
      <c r="D89" s="4" t="n">
        <v>-25</v>
      </c>
    </row>
    <row r="90" hidden="1" outlineLevel="1">
      <c r="B90" s="3" t="inlineStr">
        <is>
          <t>Parts used — Ruth A.</t>
        </is>
      </c>
      <c r="D90" s="4" t="n">
        <v>-129</v>
      </c>
    </row>
    <row r="91" hidden="1" outlineLevel="1">
      <c r="B91" s="3" t="inlineStr">
        <is>
          <t>Parts used — Sam Q.</t>
        </is>
      </c>
      <c r="D91" s="4" t="n">
        <v>-70</v>
      </c>
    </row>
    <row r="92" hidden="1" outlineLevel="1">
      <c r="B92" s="3" t="inlineStr">
        <is>
          <t>Parts used — Westville Bike Share</t>
        </is>
      </c>
      <c r="D92" s="4" t="n">
        <v>-105</v>
      </c>
    </row>
    <row r="93" hidden="1" outlineLevel="1">
      <c r="B93" s="3" t="inlineStr">
        <is>
          <t>Parts used — Ridgeline Trail Crew</t>
        </is>
      </c>
      <c r="D93" s="4" t="n">
        <v>-75</v>
      </c>
    </row>
    <row r="94" hidden="1" outlineLevel="1">
      <c r="B94" s="3" t="inlineStr">
        <is>
          <t>Parts used — J. Smith</t>
        </is>
      </c>
      <c r="D94" s="4" t="n">
        <v>-36</v>
      </c>
    </row>
    <row r="95" collapsed="1">
      <c r="B95" s="16" t="inlineStr">
        <is>
          <t>Balance, August 31, 2026</t>
        </is>
      </c>
      <c r="C95" s="17" t="n"/>
      <c r="D95" s="13">
        <f>SUBTOTAL(9,D53:D94)</f>
        <v>200</v>
        <v/>
      </c>
    </row>
    <row r="97">
      <c r="B97" s="6" t="inlineStr">
        <is>
          <t>Tools &amp; Repair Equipment</t>
        </is>
      </c>
      <c r="C97" s="11" t="n"/>
      <c r="D97" s="11" t="n"/>
    </row>
    <row r="98" hidden="1" outlineLevel="1">
      <c r="B98" s="3" t="inlineStr">
        <is>
          <t>Repair stand</t>
        </is>
      </c>
      <c r="D98" s="4" t="n">
        <v>200</v>
      </c>
    </row>
    <row r="99" hidden="1" outlineLevel="1">
      <c r="B99" s="3" t="inlineStr">
        <is>
          <t>Air compressor</t>
        </is>
      </c>
      <c r="D99" s="4" t="n">
        <v>180</v>
      </c>
    </row>
    <row r="100" hidden="1" outlineLevel="1">
      <c r="B100" s="3" t="inlineStr">
        <is>
          <t>Parts washer</t>
        </is>
      </c>
      <c r="D100" s="4" t="n">
        <v>130</v>
      </c>
    </row>
    <row r="101" hidden="1" outlineLevel="1">
      <c r="B101" s="3" t="inlineStr">
        <is>
          <t>Wheel-truing stand</t>
        </is>
      </c>
      <c r="D101" s="4" t="n">
        <v>170</v>
      </c>
    </row>
    <row r="102" hidden="1" outlineLevel="1">
      <c r="B102" s="3" t="inlineStr">
        <is>
          <t>Cone wrench set</t>
        </is>
      </c>
      <c r="D102" s="4" t="n">
        <v>65</v>
      </c>
    </row>
    <row r="103" hidden="1" outlineLevel="1">
      <c r="B103" s="3" t="inlineStr">
        <is>
          <t>Torque wrench</t>
        </is>
      </c>
      <c r="D103" s="4" t="n">
        <v>95</v>
      </c>
    </row>
    <row r="104" hidden="1" outlineLevel="1">
      <c r="B104" s="3" t="inlineStr">
        <is>
          <t>Hex/Allen set</t>
        </is>
      </c>
      <c r="D104" s="4" t="n">
        <v>45</v>
      </c>
    </row>
    <row r="105" hidden="1" outlineLevel="1">
      <c r="B105" s="3" t="inlineStr">
        <is>
          <t>Cable cutters</t>
        </is>
      </c>
      <c r="D105" s="4" t="n">
        <v>40</v>
      </c>
    </row>
    <row r="106" hidden="1" outlineLevel="1">
      <c r="B106" s="3" t="inlineStr">
        <is>
          <t>Chain breaker</t>
        </is>
      </c>
      <c r="D106" s="4" t="n">
        <v>35</v>
      </c>
    </row>
    <row r="107" hidden="1" outlineLevel="1">
      <c r="B107" s="3" t="inlineStr">
        <is>
          <t>Tire levers</t>
        </is>
      </c>
      <c r="D107" s="4" t="n">
        <v>20</v>
      </c>
    </row>
    <row r="108" hidden="1" outlineLevel="1">
      <c r="B108" s="3" t="inlineStr">
        <is>
          <t>Bench grinder</t>
        </is>
      </c>
      <c r="D108" s="4" t="n">
        <v>90</v>
      </c>
    </row>
    <row r="109" hidden="1" outlineLevel="1">
      <c r="B109" s="3" t="inlineStr">
        <is>
          <t>Headset press</t>
        </is>
      </c>
      <c r="D109" s="4" t="n">
        <v>70</v>
      </c>
    </row>
    <row r="110" hidden="1" outlineLevel="1">
      <c r="B110" s="3" t="inlineStr">
        <is>
          <t>Shop vacuum</t>
        </is>
      </c>
      <c r="D110" s="4" t="n">
        <v>60</v>
      </c>
    </row>
    <row r="111" collapsed="1">
      <c r="B111" s="16" t="inlineStr">
        <is>
          <t>Balance, June 1, 2026</t>
        </is>
      </c>
      <c r="C111" s="17" t="n"/>
      <c r="D111" s="13">
        <f>SUBTOTAL(9,D98:D110)</f>
        <v>1200</v>
        <v/>
      </c>
    </row>
    <row r="112" hidden="1" outlineLevel="1">
      <c r="B112" s="3" t="inlineStr">
        <is>
          <t>New repair tool bought this season</t>
        </is>
      </c>
      <c r="D112" s="4" t="n">
        <v>400</v>
      </c>
    </row>
    <row r="113" collapsed="1">
      <c r="B113" s="16" t="inlineStr">
        <is>
          <t>Balance, August 31, 2026</t>
        </is>
      </c>
      <c r="C113" s="17" t="n"/>
      <c r="D113" s="13">
        <f>SUBTOTAL(9,D98:D112)</f>
        <v>1600</v>
        <v/>
      </c>
    </row>
    <row r="115">
      <c r="B115" s="6" t="inlineStr">
        <is>
          <t>Fixtures</t>
        </is>
      </c>
      <c r="C115" s="11" t="n"/>
      <c r="D115" s="11" t="n"/>
    </row>
    <row r="116" outlineLevel="1">
      <c r="B116" s="3" t="inlineStr">
        <is>
          <t>Desk</t>
        </is>
      </c>
      <c r="D116" s="4" t="n">
        <v>250</v>
      </c>
    </row>
    <row r="117" outlineLevel="1">
      <c r="B117" s="3" t="inlineStr">
        <is>
          <t>Shelving units</t>
        </is>
      </c>
      <c r="D117" s="4" t="n">
        <v>200</v>
      </c>
    </row>
    <row r="118" outlineLevel="1">
      <c r="B118" s="3" t="inlineStr">
        <is>
          <t>Display rack</t>
        </is>
      </c>
      <c r="D118" s="4" t="n">
        <v>180</v>
      </c>
    </row>
    <row r="119" outlineLevel="1">
      <c r="B119" s="3" t="inlineStr">
        <is>
          <t>Pegboard + hooks</t>
        </is>
      </c>
      <c r="D119" s="4" t="n">
        <v>120</v>
      </c>
    </row>
    <row r="120">
      <c r="B120" s="16" t="inlineStr">
        <is>
          <t>Balance, June 1, 2026</t>
        </is>
      </c>
      <c r="C120" s="17" t="n"/>
      <c r="D120" s="13">
        <f>SUM(D116:D119)</f>
        <v>750</v>
        <v/>
      </c>
    </row>
    <row r="121">
      <c r="B121" s="16" t="inlineStr">
        <is>
          <t>Balance, August 31, 2026</t>
        </is>
      </c>
      <c r="C121" s="17" t="n"/>
      <c r="D121" s="13">
        <f>SUM(D116:D119)</f>
        <v>750</v>
        <v/>
      </c>
    </row>
    <row r="123">
      <c r="B123" s="6" t="inlineStr">
        <is>
          <t>Laptop</t>
        </is>
      </c>
      <c r="C123" s="11" t="n"/>
      <c r="D123" s="11" t="n"/>
    </row>
    <row r="124" hidden="1" outlineLevel="1">
      <c r="B124" s="3" t="inlineStr">
        <is>
          <t>Laptop (from home)</t>
        </is>
      </c>
      <c r="D124" s="4" t="n">
        <v>610</v>
      </c>
    </row>
    <row r="125" collapsed="1">
      <c r="B125" s="16" t="inlineStr">
        <is>
          <t>Balance, June 1, 2026</t>
        </is>
      </c>
      <c r="C125" s="17" t="n"/>
      <c r="D125" s="13">
        <f>SUM(D124)</f>
        <v>610</v>
        <v/>
      </c>
    </row>
    <row r="126">
      <c r="B126" s="16" t="inlineStr">
        <is>
          <t>Balance, August 31, 2026</t>
        </is>
      </c>
      <c r="C126" s="17" t="n"/>
      <c r="D126" s="13">
        <f>SUM(D125)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3"/>
  <sheetViews>
    <sheetView zoomScale="258" zoomScaleNormal="258" workbookViewId="0">
      <selection activeCell="B79" sqref="B79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Parts used — Ridgeline Trail Crew</t>
        </is>
      </c>
      <c r="D55" s="4" t="n">
        <v>-75</v>
      </c>
    </row>
    <row r="56" hidden="1" outlineLevel="1">
      <c r="B56" s="3" t="inlineStr">
        <is>
          <t>Frame delivered — J. Smith (deposit earned)</t>
        </is>
      </c>
      <c r="D56" s="4" t="n">
        <v>220</v>
      </c>
    </row>
    <row r="57" hidden="1" outlineLevel="1">
      <c r="B57" s="3" t="inlineStr">
        <is>
          <t>Parts used — J. Smith</t>
        </is>
      </c>
      <c r="D57" s="4" t="n">
        <v>-36</v>
      </c>
    </row>
    <row r="58" collapsed="1">
      <c r="B58" s="16" t="inlineStr">
        <is>
          <t>Balance, August 31, 2026</t>
        </is>
      </c>
      <c r="C58" s="17" t="n"/>
      <c r="D58" s="13">
        <f>SUBTOTAL(9,D16:D57)</f>
        <v>2570</v>
        <v/>
      </c>
    </row>
    <row r="59">
      <c r="B59" s="3" t="n"/>
      <c r="D59" s="4" t="n"/>
    </row>
    <row r="60">
      <c r="B60" s="6" t="inlineStr">
        <is>
          <t>WITHDRAWN</t>
        </is>
      </c>
      <c r="C60" s="11" t="n"/>
      <c r="D60" s="11" t="n"/>
    </row>
    <row r="61">
      <c r="B61" s="16" t="inlineStr">
        <is>
          <t>Balance, June 1, 2026</t>
        </is>
      </c>
      <c r="C61" s="17" t="n"/>
      <c r="D61" s="13" t="n">
        <v>0</v>
      </c>
    </row>
    <row r="62" hidden="1" outlineLevel="1">
      <c r="B62" s="3" t="inlineStr">
        <is>
          <t>Owner's draw — money taken out for personal use</t>
        </is>
      </c>
      <c r="D62" s="4" t="n">
        <v>-600</v>
      </c>
    </row>
    <row r="63" collapsed="1">
      <c r="B63" s="16" t="inlineStr">
        <is>
          <t>Balance, August 31, 2026</t>
        </is>
      </c>
      <c r="C63" s="17" t="n"/>
      <c r="D63" s="13">
        <f>SUM(D61:D62)</f>
        <v>-600</v>
        <v/>
      </c>
    </row>
    <row r="67" hidden="1" outlineLevel="1"/>
    <row r="68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2026-07-24T21:55:38Z</dcterms:modified>
  <cp:lastModifiedBy>Antle, Rick</cp:lastModifiedBy>
</cp:coreProperties>
</file>