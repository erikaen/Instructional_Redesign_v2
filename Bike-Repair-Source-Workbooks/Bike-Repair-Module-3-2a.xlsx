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160" yWindow="150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97"/>
  <sheetViews>
    <sheetView topLeftCell="A38" zoomScale="214" zoomScaleNormal="214" workbookViewId="0">
      <selection activeCell="B48" sqref="B4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 xml:space="preserve">	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collapsed="1">
      <c r="B87" s="16" t="inlineStr">
        <is>
          <t>Balance, August 31, 2026</t>
        </is>
      </c>
      <c r="C87" s="17" t="n"/>
      <c r="D87" s="13">
        <f>D85+SUM(D86:D86)</f>
        <v>1600</v>
        <v/>
      </c>
    </row>
    <row r="88">
      <c r="B88" s="3" t="n"/>
      <c r="D88" s="4" t="n"/>
    </row>
    <row r="89">
      <c r="B89" s="6" t="inlineStr">
        <is>
          <t>Fixtures</t>
        </is>
      </c>
      <c r="C89" s="11" t="n"/>
      <c r="D89" s="11" t="n"/>
    </row>
    <row r="90" hidden="1" outlineLevel="1">
      <c r="B90" s="3" t="inlineStr">
        <is>
          <t>Company received at formation (June 1)</t>
        </is>
      </c>
      <c r="D90" s="4" t="n">
        <v>750</v>
      </c>
    </row>
    <row r="91" collapsed="1">
      <c r="B91" s="16" t="inlineStr">
        <is>
          <t>Balance, June 1, 2026</t>
        </is>
      </c>
      <c r="C91" s="17" t="n"/>
      <c r="D91" s="13">
        <f>SUM(D90:D90)</f>
        <v>750</v>
        <v/>
      </c>
    </row>
    <row r="92">
      <c r="B92" s="16" t="inlineStr">
        <is>
          <t>Balance, August 31, 2026</t>
        </is>
      </c>
      <c r="C92" s="17" t="n"/>
      <c r="D92" s="13">
        <f>D91</f>
        <v>750</v>
        <v/>
      </c>
    </row>
    <row r="93">
      <c r="B93" s="3" t="n"/>
      <c r="D93" s="4" t="n"/>
    </row>
    <row r="94">
      <c r="B94" s="6" t="inlineStr">
        <is>
          <t>Laptop</t>
        </is>
      </c>
      <c r="C94" s="11" t="n"/>
      <c r="D94" s="11" t="n"/>
    </row>
    <row r="95" hidden="1" outlineLevel="1">
      <c r="B95" s="3" t="inlineStr">
        <is>
          <t>Company received at formation (June 1)</t>
        </is>
      </c>
      <c r="D95" s="4" t="n">
        <v>610</v>
      </c>
    </row>
    <row r="96" collapsed="1">
      <c r="B96" s="16" t="inlineStr">
        <is>
          <t>Balance, June 1, 2026</t>
        </is>
      </c>
      <c r="C96" s="17" t="n"/>
      <c r="D96" s="13">
        <f>SUM(D95:D95)</f>
        <v>610</v>
        <v/>
      </c>
    </row>
    <row r="97">
      <c r="B97" s="16" t="inlineStr">
        <is>
          <t>Balance, August 31, 2026</t>
        </is>
      </c>
      <c r="C97" s="17" t="n"/>
      <c r="D97" s="13">
        <f>D96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4"/>
  <sheetViews>
    <sheetView tabSelected="1" topLeftCell="A55" zoomScale="258" zoomScaleNormal="258" workbookViewId="0">
      <selection activeCell="B75" sqref="B7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collapsed="1">
      <c r="B59" s="16" t="inlineStr">
        <is>
          <t>Balance, August 31, 2026</t>
        </is>
      </c>
      <c r="C59" s="17" t="n"/>
      <c r="D59" s="13">
        <f>SUBTOTAL(9,D16:D58)</f>
        <v>2870</v>
        <v/>
      </c>
    </row>
    <row r="60">
      <c r="B60" s="3" t="n"/>
      <c r="D60" s="4" t="n"/>
    </row>
    <row r="61">
      <c r="B61" s="6" t="inlineStr">
        <is>
          <t>WITHDRAWN</t>
        </is>
      </c>
      <c r="C61" s="11" t="n"/>
      <c r="D61" s="11" t="n"/>
    </row>
    <row r="62">
      <c r="B62" s="16" t="inlineStr">
        <is>
          <t>Balance, June 1, 2026</t>
        </is>
      </c>
      <c r="C62" s="17" t="n"/>
      <c r="D62" s="13" t="n">
        <v>0</v>
      </c>
    </row>
    <row r="63" hidden="1" outlineLevel="1">
      <c r="B63" s="3" t="inlineStr">
        <is>
          <t>Owner's draw — money taken out for personal use</t>
        </is>
      </c>
      <c r="D63" s="4" t="n">
        <v>-600</v>
      </c>
    </row>
    <row r="64" collapsed="1">
      <c r="B64" s="16" t="inlineStr">
        <is>
          <t>Balance, August 31, 2026</t>
        </is>
      </c>
      <c r="C64" s="17" t="n"/>
      <c r="D64" s="13">
        <f>SUM(D62:D63)</f>
        <v>-600</v>
        <v/>
      </c>
    </row>
    <row r="68" hidden="1" outlineLevel="1"/>
    <row r="69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