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120" yWindow="3040" windowWidth="38500" windowHeight="27280" tabRatio="600" firstSheet="0" activeTab="3" autoFilterDateGrouping="1"/>
  </bookViews>
  <sheets>
    <sheet name="0 · Data copied in" sheetId="1" state="visible" r:id="rId1"/>
    <sheet name="1 · Fold each pile" sheetId="2" state="visible" r:id="rId2"/>
    <sheet name="2 · Identify the reasons" sheetId="3" state="visible" r:id="rId3"/>
    <sheet name="3 · Make the statemen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;\(\$#,##0\)"/>
    <numFmt numFmtId="165" formatCode="_(&quot;$&quot;* #,##0_);_(&quot;$&quot;* \(#,##0\);_(&quot;$&quot;* &quot;-&quot;??_);_(@_)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i val="1"/>
      <sz val="11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rgb="FF0000FF"/>
      <sz val="11"/>
    </font>
    <font>
      <name val="Calibri"/>
      <family val="2"/>
      <i val="1"/>
      <color theme="1" tint="0.2999969481490524"/>
      <sz val="11"/>
    </font>
  </fonts>
  <fills count="4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theme="4" tint="0.7999816888943144"/>
        <bgColor indexed="65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4" fillId="3" borderId="1" pivotButton="0" quotePrefix="0" xfId="0"/>
    <xf numFmtId="0" fontId="0" fillId="3" borderId="1" pivotButton="0" quotePrefix="0" xfId="0"/>
    <xf numFmtId="164" fontId="3" fillId="3" borderId="1" pivotButton="0" quotePrefix="0" xfId="0"/>
    <xf numFmtId="164" fontId="5" fillId="0" borderId="0" pivotButton="0" quotePrefix="0" xfId="0"/>
    <xf numFmtId="0" fontId="4" fillId="0" borderId="0" applyAlignment="1" pivotButton="0" quotePrefix="0" xfId="0">
      <alignment horizontal="right"/>
    </xf>
    <xf numFmtId="0" fontId="3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5" fontId="3" fillId="3" borderId="1" pivotButton="0" quotePrefix="0" xfId="0"/>
    <xf numFmtId="165" fontId="0" fillId="0" borderId="0" pivotButton="0" quotePrefix="0" xfId="0"/>
    <xf numFmtId="41" fontId="4" fillId="0" borderId="0" pivotButton="0" quotePrefix="0" xfId="0"/>
    <xf numFmtId="41" fontId="0" fillId="0" borderId="0" pivotButton="0" quotePrefix="0" xfId="0"/>
    <xf numFmtId="165" fontId="0" fillId="0" borderId="2" pivotButton="0" quotePrefix="0" xfId="0"/>
    <xf numFmtId="0" fontId="0" fillId="3" borderId="3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68"/>
  <sheetViews>
    <sheetView zoomScale="140" zoomScaleNormal="140" workbookViewId="0">
      <selection activeCell="A1" sqref="A1"/>
    </sheetView>
  </sheetViews>
  <sheetFormatPr baseColWidth="10" defaultColWidth="8.83203125" defaultRowHeight="15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Statement of Member's Capital</t>
        </is>
      </c>
    </row>
    <row r="2">
      <c r="B2" s="2" t="inlineStr">
        <is>
          <t>For the period June 1 – August 31, 2026</t>
        </is>
      </c>
    </row>
    <row r="3"/>
    <row r="4">
      <c r="B4" s="3" t="inlineStr">
        <is>
          <t>CONTRIBUTED</t>
        </is>
      </c>
    </row>
    <row r="5" hidden="1" outlineLevel="1">
      <c r="B5" s="4" t="inlineStr">
        <is>
          <t>Cash — Company received at formation (June 1)</t>
        </is>
      </c>
      <c r="D5" s="5" t="n">
        <v>1300</v>
      </c>
    </row>
    <row r="6" hidden="1" outlineLevel="1">
      <c r="B6" s="4" t="inlineStr">
        <is>
          <t>Right of Use — Company received at formation (June 1)</t>
        </is>
      </c>
      <c r="D6" s="5" t="n">
        <v>650</v>
      </c>
    </row>
    <row r="7" hidden="1" outlineLevel="1">
      <c r="B7" s="4" t="inlineStr">
        <is>
          <t>Parts — Company received at formation (June 1)</t>
        </is>
      </c>
      <c r="D7" s="5" t="n">
        <v>200</v>
      </c>
    </row>
    <row r="8" hidden="1" outlineLevel="1">
      <c r="B8" s="4" t="inlineStr">
        <is>
          <t>Tools &amp; Repair Equipment — Company received at formation (June 1)</t>
        </is>
      </c>
      <c r="D8" s="5" t="n">
        <v>1200</v>
      </c>
    </row>
    <row r="9" hidden="1" outlineLevel="1">
      <c r="B9" s="4" t="inlineStr">
        <is>
          <t>Fixtures — Company received at formation (June 1)</t>
        </is>
      </c>
      <c r="C9" s="20" t="n"/>
      <c r="D9" s="5" t="n">
        <v>750</v>
      </c>
    </row>
    <row r="10" hidden="1" outlineLevel="1">
      <c r="B10" s="4" t="inlineStr">
        <is>
          <t>Laptop — Company received at formation (June 1)</t>
        </is>
      </c>
      <c r="C10" s="20" t="n"/>
      <c r="D10" s="5" t="n">
        <v>610</v>
      </c>
    </row>
    <row r="11" hidden="1" outlineLevel="1">
      <c r="B11" s="4" t="inlineStr">
        <is>
          <t>Credit Card — Company assumed the claim at formation (June 1)</t>
        </is>
      </c>
      <c r="D11" s="5" t="n">
        <v>-2030</v>
      </c>
    </row>
    <row r="12" hidden="1" outlineLevel="1">
      <c r="B12" s="4" t="inlineStr">
        <is>
          <t>Customer Deposit — Company assumed the claim at formation (June 1)</t>
        </is>
      </c>
      <c r="D12" s="5" t="n">
        <v>-220</v>
      </c>
    </row>
    <row r="13" collapsed="1">
      <c r="B13" s="6" t="inlineStr">
        <is>
          <t>Balance, June 1, 2026</t>
        </is>
      </c>
      <c r="C13" s="7" t="n"/>
      <c r="D13" s="8">
        <f>SUM(D5:D12)</f>
        <v>2460</v>
        <v/>
      </c>
    </row>
    <row r="14">
      <c r="B14" s="6" t="inlineStr">
        <is>
          <t>Balance, August 31, 2026</t>
        </is>
      </c>
      <c r="C14" s="7" t="n"/>
      <c r="D14" s="8">
        <f>D13</f>
        <v>2460</v>
        <v/>
      </c>
    </row>
    <row r="15">
      <c r="B15" s="4" t="n"/>
      <c r="D15" s="5" t="n"/>
    </row>
    <row r="16">
      <c r="B16" s="3" t="inlineStr">
        <is>
          <t>GENERATED</t>
        </is>
      </c>
      <c r="D16" s="5" t="n"/>
    </row>
    <row r="17">
      <c r="B17" s="6" t="inlineStr">
        <is>
          <t>Balance, June 1, 2026</t>
        </is>
      </c>
      <c r="C17" s="7" t="n"/>
      <c r="D17" s="8" t="n">
        <v>0</v>
      </c>
    </row>
    <row r="18" hidden="1" outlineLevel="1">
      <c r="B18" s="4" t="inlineStr">
        <is>
          <t>Repair collected — Dana R.</t>
        </is>
      </c>
      <c r="D18" s="5" t="n">
        <v>120</v>
      </c>
    </row>
    <row r="19" hidden="1" outlineLevel="1">
      <c r="B19" s="4" t="inlineStr">
        <is>
          <t>Parts used — Dana R.</t>
        </is>
      </c>
      <c r="D19" s="5" t="n">
        <v>-10</v>
      </c>
    </row>
    <row r="20" hidden="1" outlineLevel="1">
      <c r="B20" s="4" t="inlineStr">
        <is>
          <t>Repair collected — Marcus T.</t>
        </is>
      </c>
      <c r="D20" s="5" t="n">
        <v>150</v>
      </c>
    </row>
    <row r="21" hidden="1" outlineLevel="1">
      <c r="B21" s="4" t="inlineStr">
        <is>
          <t>Repair collected — Priya S.</t>
        </is>
      </c>
      <c r="D21" s="5" t="n">
        <v>270</v>
      </c>
    </row>
    <row r="22" hidden="1" outlineLevel="1">
      <c r="B22" s="4" t="inlineStr">
        <is>
          <t>Parts used — Priya S.</t>
        </is>
      </c>
      <c r="C22" s="20" t="n"/>
      <c r="D22" s="5" t="n">
        <v>-25</v>
      </c>
    </row>
    <row r="23" hidden="1" outlineLevel="1">
      <c r="B23" s="4" t="inlineStr">
        <is>
          <t>Repair collected — Liam O.</t>
        </is>
      </c>
      <c r="D23" s="5" t="n">
        <v>300</v>
      </c>
    </row>
    <row r="24" hidden="1" outlineLevel="1">
      <c r="B24" s="4" t="inlineStr">
        <is>
          <t>Parts used — Liam O.</t>
        </is>
      </c>
      <c r="D24" s="5" t="n">
        <v>-95</v>
      </c>
    </row>
    <row r="25" hidden="1" outlineLevel="1">
      <c r="B25" s="4" t="inlineStr">
        <is>
          <t>Repair collected — Sofia M.</t>
        </is>
      </c>
      <c r="D25" s="5" t="n">
        <v>150</v>
      </c>
    </row>
    <row r="26" hidden="1" outlineLevel="1">
      <c r="B26" s="4" t="inlineStr">
        <is>
          <t>Repair collected — Jamal W.</t>
        </is>
      </c>
      <c r="D26" s="5" t="n">
        <v>360</v>
      </c>
    </row>
    <row r="27" hidden="1" outlineLevel="1">
      <c r="B27" s="4" t="inlineStr">
        <is>
          <t>Parts used — Jamal W.</t>
        </is>
      </c>
      <c r="D27" s="5" t="n">
        <v>-60</v>
      </c>
    </row>
    <row r="28" hidden="1" outlineLevel="1">
      <c r="B28" s="4" t="inlineStr">
        <is>
          <t>Repair collected — Erin K.</t>
        </is>
      </c>
      <c r="D28" s="5" t="n">
        <v>225</v>
      </c>
    </row>
    <row r="29" hidden="1" outlineLevel="1">
      <c r="B29" s="4" t="inlineStr">
        <is>
          <t>Parts used — Erin K.</t>
        </is>
      </c>
      <c r="D29" s="5" t="n">
        <v>-40</v>
      </c>
    </row>
    <row r="30" hidden="1" outlineLevel="1">
      <c r="B30" s="4" t="inlineStr">
        <is>
          <t>Repair collected — Noah B.</t>
        </is>
      </c>
      <c r="D30" s="5" t="n">
        <v>210</v>
      </c>
    </row>
    <row r="31" hidden="1" outlineLevel="1">
      <c r="B31" s="4" t="inlineStr">
        <is>
          <t>Parts used — Noah B.</t>
        </is>
      </c>
      <c r="D31" s="5" t="n">
        <v>-65</v>
      </c>
    </row>
    <row r="32" hidden="1" outlineLevel="1">
      <c r="B32" s="4" t="inlineStr">
        <is>
          <t>Rent used — June</t>
        </is>
      </c>
      <c r="D32" s="5" t="n">
        <v>-650</v>
      </c>
    </row>
    <row r="33" hidden="1" outlineLevel="1">
      <c r="B33" s="4" t="inlineStr">
        <is>
          <t>Rent used — July</t>
        </is>
      </c>
      <c r="D33" s="5" t="n">
        <v>-650</v>
      </c>
    </row>
    <row r="34" hidden="1" outlineLevel="1">
      <c r="B34" s="4" t="inlineStr">
        <is>
          <t>Repair collected — Grace L.</t>
        </is>
      </c>
      <c r="D34" s="5" t="n">
        <v>240</v>
      </c>
    </row>
    <row r="35" hidden="1" outlineLevel="1">
      <c r="B35" s="4" t="inlineStr">
        <is>
          <t>Parts used — Grace L.</t>
        </is>
      </c>
      <c r="D35" s="5" t="n">
        <v>-35</v>
      </c>
    </row>
    <row r="36" hidden="1" outlineLevel="1">
      <c r="B36" s="4" t="inlineStr">
        <is>
          <t>Repair collected — Theo H.</t>
        </is>
      </c>
      <c r="D36" s="5" t="n">
        <v>240</v>
      </c>
    </row>
    <row r="37" hidden="1" outlineLevel="1">
      <c r="B37" s="4" t="inlineStr">
        <is>
          <t>Parts used — Theo H.</t>
        </is>
      </c>
      <c r="D37" s="5" t="n">
        <v>-25</v>
      </c>
    </row>
    <row r="38" hidden="1" outlineLevel="1">
      <c r="B38" s="4" t="inlineStr">
        <is>
          <t>Repair collected — Maya P.</t>
        </is>
      </c>
      <c r="D38" s="5" t="n">
        <v>450</v>
      </c>
    </row>
    <row r="39" hidden="1" outlineLevel="1">
      <c r="B39" s="4" t="inlineStr">
        <is>
          <t>Parts used — Maya P.</t>
        </is>
      </c>
      <c r="D39" s="5" t="n">
        <v>-125</v>
      </c>
    </row>
    <row r="40" hidden="1" outlineLevel="1">
      <c r="B40" s="4" t="inlineStr">
        <is>
          <t>Repair collected — Owen C.</t>
        </is>
      </c>
      <c r="D40" s="5" t="n">
        <v>360</v>
      </c>
    </row>
    <row r="41" hidden="1" outlineLevel="1">
      <c r="B41" s="4" t="inlineStr">
        <is>
          <t>Parts used — Owen C.</t>
        </is>
      </c>
      <c r="D41" s="5" t="n">
        <v>-55</v>
      </c>
    </row>
    <row r="42" hidden="1" outlineLevel="1">
      <c r="B42" s="4" t="inlineStr">
        <is>
          <t>Repair collected — Ava D.</t>
        </is>
      </c>
      <c r="D42" s="5" t="n">
        <v>270</v>
      </c>
    </row>
    <row r="43" hidden="1" outlineLevel="1">
      <c r="B43" s="4" t="inlineStr">
        <is>
          <t>Parts used — Ava D.</t>
        </is>
      </c>
      <c r="D43" s="5" t="n">
        <v>-45</v>
      </c>
    </row>
    <row r="44" hidden="1" outlineLevel="1">
      <c r="B44" s="4" t="inlineStr">
        <is>
          <t>Repair collected — Leo F.</t>
        </is>
      </c>
      <c r="D44" s="5" t="n">
        <v>240</v>
      </c>
    </row>
    <row r="45" hidden="1" outlineLevel="1">
      <c r="B45" s="4" t="inlineStr">
        <is>
          <t>Parts used — Leo F.</t>
        </is>
      </c>
      <c r="D45" s="5" t="n">
        <v>-100</v>
      </c>
    </row>
    <row r="46" hidden="1" outlineLevel="1">
      <c r="B46" s="4" t="inlineStr">
        <is>
          <t>Repair collected — Nina V.</t>
        </is>
      </c>
      <c r="D46" s="5" t="n">
        <v>300</v>
      </c>
    </row>
    <row r="47" hidden="1" outlineLevel="1">
      <c r="B47" s="4" t="inlineStr">
        <is>
          <t>Parts used — Nina V.</t>
        </is>
      </c>
      <c r="D47" s="5" t="n">
        <v>-80</v>
      </c>
    </row>
    <row r="48" hidden="1" outlineLevel="1">
      <c r="B48" s="4" t="inlineStr">
        <is>
          <t>Rent used — August</t>
        </is>
      </c>
      <c r="D48" s="5" t="n">
        <v>-650</v>
      </c>
    </row>
    <row r="49" hidden="1" outlineLevel="1">
      <c r="B49" s="4" t="inlineStr">
        <is>
          <t>Repair collected — Caleb G.</t>
        </is>
      </c>
      <c r="D49" s="5" t="n">
        <v>240</v>
      </c>
    </row>
    <row r="50" hidden="1" outlineLevel="1">
      <c r="B50" s="4" t="inlineStr">
        <is>
          <t>Parts used — Caleb G.</t>
        </is>
      </c>
      <c r="D50" s="5" t="n">
        <v>-25</v>
      </c>
    </row>
    <row r="51" hidden="1" outlineLevel="1">
      <c r="B51" s="4" t="inlineStr">
        <is>
          <t>Repair collected — Ruth A.</t>
        </is>
      </c>
      <c r="D51" s="5" t="n">
        <v>485</v>
      </c>
    </row>
    <row r="52" hidden="1" outlineLevel="1">
      <c r="B52" s="4" t="inlineStr">
        <is>
          <t>Parts used — Ruth A.</t>
        </is>
      </c>
      <c r="D52" s="5" t="n">
        <v>-129</v>
      </c>
    </row>
    <row r="53" hidden="1" outlineLevel="1">
      <c r="B53" s="4" t="inlineStr">
        <is>
          <t>Repair collected — Sam Q.</t>
        </is>
      </c>
      <c r="D53" s="5" t="n">
        <v>390</v>
      </c>
    </row>
    <row r="54" hidden="1" outlineLevel="1">
      <c r="B54" s="4" t="inlineStr">
        <is>
          <t>Parts used — Sam Q.</t>
        </is>
      </c>
      <c r="D54" s="5" t="n">
        <v>-70</v>
      </c>
    </row>
    <row r="55" hidden="1" outlineLevel="1">
      <c r="B55" s="4" t="inlineStr">
        <is>
          <t>Repair collected — Westville Bike Share</t>
        </is>
      </c>
      <c r="D55" s="5" t="n">
        <v>500</v>
      </c>
    </row>
    <row r="56" hidden="1" outlineLevel="1">
      <c r="B56" s="4" t="inlineStr">
        <is>
          <t>Parts used — Westville Bike Share</t>
        </is>
      </c>
      <c r="D56" s="5" t="n">
        <v>-105</v>
      </c>
    </row>
    <row r="57" hidden="1" outlineLevel="1">
      <c r="B57" s="4" t="inlineStr">
        <is>
          <t>Repair delivered — Ridgeline Trail Crew, billed net 15 (unpaid)</t>
        </is>
      </c>
      <c r="D57" s="5" t="n">
        <v>300</v>
      </c>
    </row>
    <row r="58" hidden="1" outlineLevel="1">
      <c r="B58" s="4" t="inlineStr">
        <is>
          <t>Parts used — Ridgeline Trail Crew</t>
        </is>
      </c>
      <c r="D58" s="5" t="n">
        <v>-75</v>
      </c>
    </row>
    <row r="59" hidden="1" outlineLevel="1">
      <c r="B59" s="4" t="inlineStr">
        <is>
          <t>Frame delivered — J. Smith (deposit earned)</t>
        </is>
      </c>
      <c r="D59" s="5" t="n">
        <v>220</v>
      </c>
    </row>
    <row r="60" hidden="1" outlineLevel="1">
      <c r="B60" s="4" t="inlineStr">
        <is>
          <t>Parts used — J. Smith</t>
        </is>
      </c>
      <c r="D60" s="5" t="n">
        <v>-36</v>
      </c>
    </row>
    <row r="61" hidden="1" outlineLevel="1">
      <c r="B61" s="4" t="inlineStr">
        <is>
          <t>Depreciation — tools &amp; repair equipment, Summer 2026</t>
        </is>
      </c>
      <c r="D61" s="5" t="n">
        <v>-160</v>
      </c>
    </row>
    <row r="62" hidden="1" outlineLevel="1">
      <c r="B62" s="4" t="inlineStr">
        <is>
          <t>Depreciation — fixtures, Summer 2026</t>
        </is>
      </c>
      <c r="D62" s="5" t="n">
        <v>-40</v>
      </c>
    </row>
    <row r="63" hidden="1" outlineLevel="1">
      <c r="B63" s="4" t="inlineStr">
        <is>
          <t>Depreciation — laptop, Summer 2026</t>
        </is>
      </c>
      <c r="D63" s="5" t="n">
        <v>-30</v>
      </c>
    </row>
    <row r="64" collapsed="1">
      <c r="B64" s="6" t="inlineStr">
        <is>
          <t>Balance, August 31, 2026</t>
        </is>
      </c>
      <c r="C64" s="7" t="n"/>
      <c r="D64" s="8">
        <f>D17+SUM(D18:D63)</f>
        <v>2640</v>
        <v/>
      </c>
    </row>
    <row r="65">
      <c r="B65" s="4" t="n"/>
      <c r="D65" s="5" t="n"/>
    </row>
    <row r="66">
      <c r="B66" s="3" t="inlineStr">
        <is>
          <t>WITHDRAWN</t>
        </is>
      </c>
      <c r="D66" s="5" t="n"/>
    </row>
    <row r="67" hidden="1" outlineLevel="1">
      <c r="B67" s="4" t="inlineStr">
        <is>
          <t>Owner's draw — money taken out for personal use</t>
        </is>
      </c>
      <c r="D67" s="5" t="n">
        <v>-600</v>
      </c>
    </row>
    <row r="68" collapsed="1">
      <c r="B68" s="6" t="inlineStr">
        <is>
          <t>Balance, August 31, 2026</t>
        </is>
      </c>
      <c r="C68" s="7" t="n"/>
      <c r="D68" s="8">
        <f>SUM(D67:D67)</f>
        <v>-600</v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7"/>
  <sheetViews>
    <sheetView zoomScale="140" zoomScaleNormal="140" workbookViewId="0">
      <selection activeCell="D7" sqref="D7"/>
    </sheetView>
  </sheetViews>
  <sheetFormatPr baseColWidth="10" defaultColWidth="8.83203125" defaultRowHeight="15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Statement of Member's Capital</t>
        </is>
      </c>
    </row>
    <row r="2">
      <c r="B2" s="2" t="inlineStr">
        <is>
          <t>For the period June 1 – August 31, 2026</t>
        </is>
      </c>
    </row>
    <row r="4">
      <c r="B4" s="3" t="inlineStr">
        <is>
          <t>CONTRIBUTED</t>
        </is>
      </c>
    </row>
    <row r="5">
      <c r="B5" s="4" t="inlineStr">
        <is>
          <t>Balance, June 1, 2026</t>
        </is>
      </c>
      <c r="D5" s="9" t="n">
        <v>2460</v>
      </c>
    </row>
    <row r="6">
      <c r="B6" s="4" t="inlineStr">
        <is>
          <t>Change during the period</t>
        </is>
      </c>
      <c r="D6" s="10" t="n">
        <v>0</v>
      </c>
    </row>
    <row r="7">
      <c r="B7" s="6" t="inlineStr">
        <is>
          <t>Balance, August 31, 2026</t>
        </is>
      </c>
      <c r="C7" s="7" t="n"/>
      <c r="D7" s="8">
        <f>D5+D6</f>
        <v>2460</v>
        <v/>
      </c>
    </row>
    <row r="9">
      <c r="B9" s="3" t="inlineStr">
        <is>
          <t>GENERATED</t>
        </is>
      </c>
    </row>
    <row r="10">
      <c r="B10" s="4" t="inlineStr">
        <is>
          <t>Balance, June 1, 2026</t>
        </is>
      </c>
      <c r="D10" s="9" t="n">
        <v>0</v>
      </c>
    </row>
    <row r="11">
      <c r="B11" s="4" t="inlineStr">
        <is>
          <t>Change during the period</t>
        </is>
      </c>
      <c r="D11" s="5" t="n">
        <v>2640</v>
      </c>
    </row>
    <row r="12">
      <c r="B12" s="6" t="inlineStr">
        <is>
          <t>Balance, August 31, 2026</t>
        </is>
      </c>
      <c r="C12" s="7" t="n"/>
      <c r="D12" s="8">
        <f>D10+D11</f>
        <v>2640</v>
        <v/>
      </c>
    </row>
    <row r="14">
      <c r="B14" s="3" t="inlineStr">
        <is>
          <t>WITHDRAWN</t>
        </is>
      </c>
    </row>
    <row r="15">
      <c r="B15" s="4" t="inlineStr">
        <is>
          <t>Balance, June 1, 2026</t>
        </is>
      </c>
      <c r="D15" s="9" t="n">
        <v>0</v>
      </c>
    </row>
    <row r="16">
      <c r="B16" s="4" t="inlineStr">
        <is>
          <t>Change during the period</t>
        </is>
      </c>
      <c r="D16" s="5" t="n">
        <v>-600</v>
      </c>
    </row>
    <row r="17">
      <c r="B17" s="6" t="inlineStr">
        <is>
          <t>Balance, August 31, 2026</t>
        </is>
      </c>
      <c r="C17" s="7" t="n"/>
      <c r="D17" s="8">
        <f>D15+D16</f>
        <v>-600</v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7"/>
  <sheetViews>
    <sheetView zoomScale="160" zoomScaleNormal="160" workbookViewId="0">
      <selection activeCell="F36" sqref="F36"/>
    </sheetView>
  </sheetViews>
  <sheetFormatPr baseColWidth="10" defaultColWidth="8.83203125" defaultRowHeight="15"/>
  <cols>
    <col width="2" customWidth="1" min="1" max="1"/>
    <col width="50" customWidth="1" min="2" max="2"/>
    <col width="3" customWidth="1" min="3" max="3"/>
    <col width="14" customWidth="1" min="4" max="4"/>
    <col width="2" customWidth="1" min="5" max="5"/>
    <col width="62" customWidth="1" min="6" max="6"/>
  </cols>
  <sheetData>
    <row r="1" ht="19" customHeight="1">
      <c r="B1" s="1" t="inlineStr">
        <is>
          <t>Statement of Member's Capital</t>
        </is>
      </c>
    </row>
    <row r="2">
      <c r="B2" s="2" t="inlineStr">
        <is>
          <t>For the period June 1 – August 31, 2026</t>
        </is>
      </c>
    </row>
    <row r="3">
      <c r="F3" s="11" t="inlineStr">
        <is>
          <t>Reason for the change</t>
        </is>
      </c>
    </row>
    <row r="4">
      <c r="B4" s="3" t="inlineStr">
        <is>
          <t>CONTRIBUTED</t>
        </is>
      </c>
    </row>
    <row r="5">
      <c r="B5" s="4" t="inlineStr">
        <is>
          <t>Balance, June 1, 2026</t>
        </is>
      </c>
      <c r="D5" s="9" t="n">
        <v>2460</v>
      </c>
    </row>
    <row r="6">
      <c r="B6" s="4" t="inlineStr">
        <is>
          <t>Change during the period</t>
        </is>
      </c>
      <c r="D6" s="10" t="n">
        <v>0</v>
      </c>
      <c r="F6" s="12" t="inlineStr">
        <is>
          <t>No new money or gear was put in during June–August — no change.</t>
        </is>
      </c>
    </row>
    <row r="7">
      <c r="B7" s="6" t="inlineStr">
        <is>
          <t>Balance, August 31, 2026</t>
        </is>
      </c>
      <c r="C7" s="7" t="n"/>
      <c r="D7" s="8">
        <f>D5+D6</f>
        <v>2460</v>
        <v/>
      </c>
    </row>
    <row r="9">
      <c r="B9" s="3" t="inlineStr">
        <is>
          <t>GENERATED</t>
        </is>
      </c>
    </row>
    <row r="10">
      <c r="B10" s="4" t="inlineStr">
        <is>
          <t>Balance, June 1, 2026</t>
        </is>
      </c>
      <c r="D10" s="9" t="n">
        <v>0</v>
      </c>
    </row>
    <row r="11">
      <c r="B11" s="4" t="inlineStr">
        <is>
          <t>Change during the period</t>
        </is>
      </c>
      <c r="D11" s="5" t="n">
        <v>2640</v>
      </c>
      <c r="F11" s="12" t="inlineStr">
        <is>
          <t>← Net income: what the repair work generated over the period. This is the same 2,640 from the Income Statement.</t>
        </is>
      </c>
    </row>
    <row r="12">
      <c r="B12" s="6" t="inlineStr">
        <is>
          <t>Balance, August 31, 2026</t>
        </is>
      </c>
      <c r="C12" s="7" t="n"/>
      <c r="D12" s="8">
        <f>D10+D11</f>
        <v>2640</v>
        <v/>
      </c>
    </row>
    <row r="14">
      <c r="B14" s="3" t="inlineStr">
        <is>
          <t>WITHDRAWN</t>
        </is>
      </c>
    </row>
    <row r="15">
      <c r="B15" s="4" t="inlineStr">
        <is>
          <t>Balance, June 1, 2026</t>
        </is>
      </c>
      <c r="D15" s="9" t="n">
        <v>0</v>
      </c>
    </row>
    <row r="16">
      <c r="B16" s="4" t="inlineStr">
        <is>
          <t>Change during the period</t>
        </is>
      </c>
      <c r="D16" s="5" t="n">
        <v>-600</v>
      </c>
      <c r="F16" s="12" t="inlineStr">
        <is>
          <t>← Owner's draw: money the owner took out for personal use.</t>
        </is>
      </c>
    </row>
    <row r="17">
      <c r="B17" s="6" t="inlineStr">
        <is>
          <t>Balance, August 31, 2026</t>
        </is>
      </c>
      <c r="C17" s="7" t="n"/>
      <c r="D17" s="8">
        <f>D15+D16</f>
        <v>-600</v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20"/>
  <sheetViews>
    <sheetView tabSelected="1" zoomScale="180" zoomScaleNormal="180" workbookViewId="0">
      <selection activeCell="B27" sqref="B27"/>
    </sheetView>
  </sheetViews>
  <sheetFormatPr baseColWidth="10" defaultColWidth="8.83203125" defaultRowHeight="15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Statement of Member's Capital</t>
        </is>
      </c>
    </row>
    <row r="2">
      <c r="B2" s="2" t="inlineStr">
        <is>
          <t>For the period June 1 – August 31, 2026</t>
        </is>
      </c>
    </row>
    <row r="4">
      <c r="B4" s="3" t="inlineStr">
        <is>
          <t>CONTRIBUTED</t>
        </is>
      </c>
      <c r="C4" s="3" t="n"/>
      <c r="D4" s="3" t="n"/>
    </row>
    <row r="5">
      <c r="B5" s="4" t="inlineStr">
        <is>
          <t>Balance, June 1, 2026</t>
        </is>
      </c>
      <c r="D5" s="13" t="n">
        <v>2460</v>
      </c>
    </row>
    <row r="6">
      <c r="B6" s="6" t="inlineStr">
        <is>
          <t>Balance, August 31, 2026</t>
        </is>
      </c>
      <c r="C6" s="7" t="n"/>
      <c r="D6" s="14">
        <f>D5</f>
        <v>2460</v>
        <v/>
      </c>
    </row>
    <row r="7">
      <c r="D7" s="15" t="n"/>
    </row>
    <row r="8">
      <c r="B8" s="3" t="inlineStr">
        <is>
          <t>GENERATED</t>
        </is>
      </c>
      <c r="C8" s="3" t="n"/>
      <c r="D8" s="3" t="n"/>
    </row>
    <row r="9">
      <c r="B9" s="4" t="inlineStr">
        <is>
          <t>Balance, June 1, 2026</t>
        </is>
      </c>
      <c r="D9" s="13" t="n">
        <v>0</v>
      </c>
    </row>
    <row r="10">
      <c r="B10" s="4" t="inlineStr">
        <is>
          <t>Net income (from the Income Statement)</t>
        </is>
      </c>
      <c r="D10" s="16" t="n">
        <v>2640</v>
      </c>
    </row>
    <row r="11">
      <c r="B11" s="6" t="inlineStr">
        <is>
          <t>Balance, August 31, 2026</t>
        </is>
      </c>
      <c r="C11" s="7" t="n"/>
      <c r="D11" s="14">
        <f>D9+D10</f>
        <v>2640</v>
        <v/>
      </c>
    </row>
    <row r="12">
      <c r="D12" s="15" t="n"/>
    </row>
    <row r="13">
      <c r="B13" s="3" t="inlineStr">
        <is>
          <t>WITHDRAWN</t>
        </is>
      </c>
      <c r="C13" s="3" t="n"/>
      <c r="D13" s="3" t="n"/>
    </row>
    <row r="14">
      <c r="B14" s="4" t="inlineStr">
        <is>
          <t>Balance, June 1, 2026</t>
        </is>
      </c>
      <c r="D14" s="13" t="n">
        <v>0</v>
      </c>
    </row>
    <row r="15">
      <c r="B15" s="4" t="inlineStr">
        <is>
          <t>Owner's draw</t>
        </is>
      </c>
      <c r="D15" s="16" t="n">
        <v>-600</v>
      </c>
    </row>
    <row r="16">
      <c r="B16" s="6" t="inlineStr">
        <is>
          <t>Balance, August 31, 2026</t>
        </is>
      </c>
      <c r="C16" s="7" t="n"/>
      <c r="D16" s="14">
        <f>D14+D15</f>
        <v>-600</v>
        <v/>
      </c>
    </row>
    <row r="18">
      <c r="B18" t="inlineStr">
        <is>
          <t>Total Member's Capital, June 1, 2026</t>
        </is>
      </c>
      <c r="D18" s="15" t="n">
        <v>2460</v>
      </c>
    </row>
    <row r="19">
      <c r="B19" t="inlineStr">
        <is>
          <t>Change in total Member's Capital, June 1 to August 31, 2026</t>
        </is>
      </c>
      <c r="D19" s="17" t="n">
        <v>2040</v>
      </c>
    </row>
    <row r="20" ht="16" customHeight="1">
      <c r="B20" t="inlineStr">
        <is>
          <t>Total Member's Capital, August 31, 2026</t>
        </is>
      </c>
      <c r="D20" s="18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2026-07-13T19:18:21Z</dcterms:created>
  <dcterms:modified xsi:type="dcterms:W3CDTF">2026-07-24T21:55:38Z</dcterms:modified>
  <cp:lastModifiedBy>Antle, Rick</cp:lastModifiedBy>
</cp:coreProperties>
</file>