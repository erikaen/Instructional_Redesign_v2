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00" yWindow="164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165" fontId="5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1:D100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additional contribution (Section 10)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Wheel truing stand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</c>
    </row>
    <row r="42">
      <c r="B42" s="16" t="inlineStr">
        <is>
          <t>Balance, August 31, 2026</t>
        </is>
      </c>
      <c r="C42" s="17" t="n"/>
      <c r="D42" s="13">
        <f>D41</f>
        <v>650</v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</c>
    </row>
    <row r="86" hidden="1" outlineLevel="1">
      <c r="B86" s="3" t="inlineStr">
        <is>
          <t>Wheel truing stand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additional contribution (Section 10)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</c>
    </row>
    <row r="12">
      <c r="B12" s="16" t="inlineStr">
        <is>
          <t>Balance, August 31, 2026</t>
        </is>
      </c>
      <c r="C12" s="17" t="n"/>
      <c r="D12" s="13">
        <f>D11</f>
        <v>2460</v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8" t="inlineStr">
        <is>
          <t>Revenue</t>
        </is>
      </c>
      <c r="C5" s="28" t="n"/>
      <c r="D5" s="28" t="n"/>
    </row>
    <row r="6">
      <c r="B6" s="22" t="inlineStr">
        <is>
          <t>Repair services</t>
        </is>
      </c>
      <c r="D6" s="29" t="n">
        <v>6020</v>
      </c>
    </row>
    <row r="7">
      <c r="B7" s="24" t="inlineStr">
        <is>
          <t>Total revenue</t>
        </is>
      </c>
      <c r="C7" s="25" t="n"/>
      <c r="D7" s="26">
        <f>D6</f>
        <v>6020</v>
      </c>
    </row>
    <row r="8"/>
    <row r="9">
      <c r="B9" s="28" t="inlineStr">
        <is>
          <t>Expenses</t>
        </is>
      </c>
      <c r="C9" s="28" t="n"/>
      <c r="D9" s="28" t="n"/>
    </row>
    <row r="10">
      <c r="B10" s="22" t="inlineStr">
        <is>
          <t>Parts used</t>
        </is>
      </c>
      <c r="D10" s="29" t="n">
        <v>1200</v>
      </c>
    </row>
    <row r="11">
      <c r="B11" s="22" t="inlineStr">
        <is>
          <t>Rent</t>
        </is>
      </c>
      <c r="D11" s="27" t="n">
        <v>1950</v>
      </c>
    </row>
    <row r="12">
      <c r="B12" s="22" t="inlineStr">
        <is>
          <t>Depreciation</t>
        </is>
      </c>
      <c r="D12" s="27" t="n">
        <v>230</v>
      </c>
    </row>
    <row r="13">
      <c r="B13" s="24" t="inlineStr">
        <is>
          <t>Total expenses</t>
        </is>
      </c>
      <c r="C13" s="25" t="n"/>
      <c r="D13" s="26">
        <f>SUM(D10:D12)</f>
        <v>3380</v>
      </c>
    </row>
    <row r="14"/>
    <row r="15">
      <c r="B15" s="24" t="inlineStr">
        <is>
          <t>Net income</t>
        </is>
      </c>
      <c r="C15" s="25" t="n"/>
      <c r="D15" s="26">
        <f>D7-D13</f>
        <v>2640</v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D21"/>
  <sheetViews>
    <sheetView tabSelected="1" zoomScale="160" zoomScaleNormal="160" workbookViewId="0">
      <selection activeCell="B34" sqref="B34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4"/>
    <row r="5">
      <c r="B5" s="28" t="inlineStr">
        <is>
          <t>CONTRIBUTED</t>
        </is>
      </c>
      <c r="C5" s="28" t="n"/>
      <c r="D5" s="28" t="n"/>
    </row>
    <row r="6">
      <c r="B6" s="22" t="inlineStr">
        <is>
          <t>Balance, June 1, 2026</t>
        </is>
      </c>
      <c r="D6" s="23" t="n">
        <v>2460</v>
      </c>
    </row>
    <row r="7">
      <c r="B7" s="24" t="inlineStr">
        <is>
          <t>Balance, August 31, 2026</t>
        </is>
      </c>
      <c r="C7" s="25" t="n"/>
      <c r="D7" s="26">
        <f>D6</f>
        <v>2460</v>
      </c>
    </row>
    <row r="8">
      <c r="D8" s="18" t="n"/>
    </row>
    <row r="9">
      <c r="B9" s="28" t="inlineStr">
        <is>
          <t>GENERATED</t>
        </is>
      </c>
      <c r="C9" s="28" t="n"/>
      <c r="D9" s="28" t="n"/>
    </row>
    <row r="10">
      <c r="B10" s="22" t="inlineStr">
        <is>
          <t>Balance, June 1, 2026</t>
        </is>
      </c>
      <c r="D10" s="23" t="n">
        <v>0</v>
      </c>
    </row>
    <row r="11">
      <c r="B11" s="22" t="inlineStr">
        <is>
          <t>Net income (from the Income Statement)</t>
        </is>
      </c>
      <c r="D11" s="27" t="n">
        <v>2640</v>
      </c>
    </row>
    <row r="12">
      <c r="B12" s="24" t="inlineStr">
        <is>
          <t>Balance, August 31, 2026</t>
        </is>
      </c>
      <c r="C12" s="25" t="n"/>
      <c r="D12" s="26">
        <f>D10+D11</f>
        <v>2640</v>
      </c>
    </row>
    <row r="13">
      <c r="D13" s="18" t="n"/>
    </row>
    <row r="14">
      <c r="B14" s="28" t="inlineStr">
        <is>
          <t>WITHDRAWN</t>
        </is>
      </c>
      <c r="C14" s="28" t="n"/>
      <c r="D14" s="28" t="n"/>
    </row>
    <row r="15">
      <c r="B15" s="22" t="inlineStr">
        <is>
          <t>Balance, June 1, 2026</t>
        </is>
      </c>
      <c r="D15" s="23" t="n">
        <v>0</v>
      </c>
    </row>
    <row r="16">
      <c r="B16" s="22" t="inlineStr">
        <is>
          <t>Owner's draw</t>
        </is>
      </c>
      <c r="D16" s="27" t="n">
        <v>-600</v>
      </c>
    </row>
    <row r="17">
      <c r="B17" s="24" t="inlineStr">
        <is>
          <t>Balance, August 31, 2026</t>
        </is>
      </c>
      <c r="C17" s="25" t="n"/>
      <c r="D17" s="26">
        <f>D15+D16</f>
        <v>-600</v>
      </c>
    </row>
    <row r="18"/>
    <row r="19">
      <c r="B19" t="inlineStr">
        <is>
          <t>Total Member's Capital, June 1, 2026</t>
        </is>
      </c>
      <c r="D19" s="18" t="n">
        <v>2460</v>
      </c>
    </row>
    <row r="20">
      <c r="B20" t="inlineStr">
        <is>
          <t>Change in total Member's Capital, June 1 to August 31, 2026</t>
        </is>
      </c>
      <c r="D20" s="19" t="n">
        <v>2040</v>
      </c>
    </row>
    <row r="21" ht="16" customHeight="1" thickBot="1">
      <c r="B21" t="inlineStr">
        <is>
          <t>Total Member's Capital, August 31, 2026</t>
        </is>
      </c>
      <c r="D21" s="30" t="n">
        <v>4500</v>
      </c>
    </row>
    <row r="22" ht="16" customHeight="1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2026-08-09T03:51:45Z</dcterms:modified>
  <cp:lastModifiedBy>Antle, Rick</cp:lastModifiedBy>
</cp:coreProperties>
</file>