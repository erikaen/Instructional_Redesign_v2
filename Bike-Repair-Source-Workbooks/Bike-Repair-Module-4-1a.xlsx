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00" yWindow="1640" windowWidth="26120" windowHeight="27720" tabRatio="600" firstSheet="0" activeTab="5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3" fillId="0" borderId="0" pivotButton="0" quotePrefix="0" xfId="0"/>
    <xf numFmtId="165" fontId="5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zoomScale="214" zoomScaleNormal="214" workbookViewId="0">
      <selection activeCell="B16" sqref="B16:D4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outlineLevel="1">
      <c r="B16" s="7" t="inlineStr">
        <is>
          <t>Repair collected — Dana R.</t>
        </is>
      </c>
      <c r="D16" s="4" t="n">
        <v>120</v>
      </c>
    </row>
    <row r="17" outlineLevel="1">
      <c r="B17" s="7" t="inlineStr">
        <is>
          <t>Repair collected — Marcus T.</t>
        </is>
      </c>
      <c r="D17" s="4" t="n">
        <v>150</v>
      </c>
    </row>
    <row r="18" outlineLevel="1">
      <c r="B18" s="7" t="inlineStr">
        <is>
          <t>Repair collected — Priya S.</t>
        </is>
      </c>
      <c r="D18" s="4" t="n">
        <v>270</v>
      </c>
    </row>
    <row r="19" outlineLevel="1">
      <c r="B19" s="7" t="inlineStr">
        <is>
          <t>Repair collected — Liam O.</t>
        </is>
      </c>
      <c r="D19" s="4" t="n">
        <v>300</v>
      </c>
    </row>
    <row r="20" outlineLevel="1">
      <c r="B20" s="7" t="inlineStr">
        <is>
          <t>Repair collected — Sofia M.</t>
        </is>
      </c>
      <c r="D20" s="4" t="n">
        <v>150</v>
      </c>
    </row>
    <row r="21" outlineLevel="1">
      <c r="B21" s="7" t="inlineStr">
        <is>
          <t>Repair collected — Jamal W.</t>
        </is>
      </c>
      <c r="D21" s="4" t="n">
        <v>360</v>
      </c>
    </row>
    <row r="22" outlineLevel="1">
      <c r="B22" s="7" t="inlineStr">
        <is>
          <t>Repair collected — Erin K.</t>
        </is>
      </c>
      <c r="D22" s="4" t="n">
        <v>225</v>
      </c>
    </row>
    <row r="23" outlineLevel="1">
      <c r="B23" s="7" t="inlineStr">
        <is>
          <t>Repair collected — Noah B.</t>
        </is>
      </c>
      <c r="D23" s="4" t="n">
        <v>210</v>
      </c>
    </row>
    <row r="24" outlineLevel="1">
      <c r="B24" s="7" t="inlineStr">
        <is>
          <t>Repair collected — Grace L.</t>
        </is>
      </c>
      <c r="D24" s="4" t="n">
        <v>240</v>
      </c>
    </row>
    <row r="25" outlineLevel="1">
      <c r="B25" s="7" t="inlineStr">
        <is>
          <t>Repair collected — Theo H.</t>
        </is>
      </c>
      <c r="D25" s="4" t="n">
        <v>240</v>
      </c>
    </row>
    <row r="26" outlineLevel="1">
      <c r="B26" s="7" t="inlineStr">
        <is>
          <t>Repair collected — Maya P.</t>
        </is>
      </c>
      <c r="D26" s="4" t="n">
        <v>450</v>
      </c>
    </row>
    <row r="27" outlineLevel="1">
      <c r="B27" s="7" t="inlineStr">
        <is>
          <t>Repair collected — Owen C.</t>
        </is>
      </c>
      <c r="D27" s="4" t="n">
        <v>360</v>
      </c>
    </row>
    <row r="28" outlineLevel="1">
      <c r="B28" s="7" t="inlineStr">
        <is>
          <t>Repair collected — Ava D.</t>
        </is>
      </c>
      <c r="D28" s="4" t="n">
        <v>270</v>
      </c>
    </row>
    <row r="29" outlineLevel="1">
      <c r="B29" s="7" t="inlineStr">
        <is>
          <t>Repair collected — Leo F.</t>
        </is>
      </c>
      <c r="D29" s="4" t="n">
        <v>240</v>
      </c>
    </row>
    <row r="30" outlineLevel="1">
      <c r="B30" s="7" t="inlineStr">
        <is>
          <t>Repair collected — Nina V.</t>
        </is>
      </c>
      <c r="D30" s="4" t="n">
        <v>300</v>
      </c>
    </row>
    <row r="31" outlineLevel="1">
      <c r="B31" s="7" t="inlineStr">
        <is>
          <t>Repair collected — Caleb G.</t>
        </is>
      </c>
      <c r="D31" s="4" t="n">
        <v>240</v>
      </c>
    </row>
    <row r="32" outlineLevel="1">
      <c r="B32" s="7" t="inlineStr">
        <is>
          <t>Repair collected — Ruth A.</t>
        </is>
      </c>
      <c r="D32" s="4" t="n">
        <v>485</v>
      </c>
    </row>
    <row r="33" outlineLevel="1">
      <c r="B33" s="7" t="inlineStr">
        <is>
          <t>Repair collected — Sam Q.</t>
        </is>
      </c>
      <c r="D33" s="4" t="n">
        <v>390</v>
      </c>
    </row>
    <row r="34" outlineLevel="1">
      <c r="B34" s="7" t="inlineStr">
        <is>
          <t>Repair collected — Westville Bike Share</t>
        </is>
      </c>
      <c r="D34" s="4" t="n">
        <v>500</v>
      </c>
    </row>
    <row r="35" outlineLevel="1">
      <c r="B35" s="7" t="inlineStr">
        <is>
          <t>Parts bought — June</t>
        </is>
      </c>
      <c r="D35" s="4" t="n">
        <v>-500</v>
      </c>
    </row>
    <row r="36" outlineLevel="1">
      <c r="B36" s="7" t="inlineStr">
        <is>
          <t>Parts bought — July</t>
        </is>
      </c>
      <c r="D36" s="4" t="n">
        <v>-400</v>
      </c>
    </row>
    <row r="37" outlineLevel="1">
      <c r="B37" s="7" t="inlineStr">
        <is>
          <t>Parts bought — August</t>
        </is>
      </c>
      <c r="D37" s="4" t="n">
        <v>-300</v>
      </c>
    </row>
    <row r="38" outlineLevel="1">
      <c r="B38" s="7" t="inlineStr">
        <is>
          <t>Rent paid — June</t>
        </is>
      </c>
      <c r="D38" s="4" t="n">
        <v>-650</v>
      </c>
    </row>
    <row r="39" outlineLevel="1">
      <c r="B39" s="7" t="inlineStr">
        <is>
          <t>Rent paid — July</t>
        </is>
      </c>
      <c r="D39" s="4" t="n">
        <v>-650</v>
      </c>
    </row>
    <row r="40" outlineLevel="1">
      <c r="B40" s="7" t="inlineStr">
        <is>
          <t>Rent paid — August</t>
        </is>
      </c>
      <c r="D40" s="4" t="n">
        <v>-650</v>
      </c>
    </row>
    <row r="41" outlineLevel="1">
      <c r="B41" s="7" t="inlineStr">
        <is>
          <t>New repair tool</t>
        </is>
      </c>
      <c r="D41" s="4" t="n">
        <v>-400</v>
      </c>
    </row>
    <row r="42" outlineLevel="1">
      <c r="B42" s="7" t="inlineStr">
        <is>
          <t>Credit card paid off</t>
        </is>
      </c>
      <c r="D42" s="4" t="n">
        <v>-2030</v>
      </c>
    </row>
    <row r="43" outlineLevel="1">
      <c r="B43" s="7" t="inlineStr">
        <is>
          <t>Money taken out for personal use</t>
        </is>
      </c>
      <c r="D43" s="4" t="n">
        <v>-600</v>
      </c>
    </row>
    <row r="44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8" t="n">
        <v>1300</v>
      </c>
      <c r="D5" s="18" t="n">
        <v>620</v>
      </c>
    </row>
    <row r="6">
      <c r="B6" s="8" t="inlineStr">
        <is>
          <t>Accounts Receivable</t>
        </is>
      </c>
      <c r="C6" s="19" t="n">
        <v>0</v>
      </c>
      <c r="D6" s="19" t="n">
        <v>300</v>
      </c>
    </row>
    <row r="7">
      <c r="B7" s="8" t="inlineStr">
        <is>
          <t>Right of Use</t>
        </is>
      </c>
      <c r="C7" s="19" t="n">
        <v>650</v>
      </c>
      <c r="D7" s="19" t="n">
        <v>650</v>
      </c>
    </row>
    <row r="8">
      <c r="B8" s="8" t="inlineStr">
        <is>
          <t>Parts</t>
        </is>
      </c>
      <c r="C8" s="19" t="n">
        <v>200</v>
      </c>
      <c r="D8" s="19" t="n">
        <v>200</v>
      </c>
    </row>
    <row r="9">
      <c r="B9" s="8" t="inlineStr">
        <is>
          <t>Tools &amp; Repair Equipment</t>
        </is>
      </c>
      <c r="C9" s="19" t="n">
        <v>1200</v>
      </c>
      <c r="D9" s="19" t="n">
        <v>1440</v>
      </c>
    </row>
    <row r="10">
      <c r="B10" s="8" t="inlineStr">
        <is>
          <t>Fixtures</t>
        </is>
      </c>
      <c r="C10" s="19" t="n">
        <v>750</v>
      </c>
      <c r="D10" s="19" t="n">
        <v>710</v>
      </c>
    </row>
    <row r="11">
      <c r="B11" s="8" t="inlineStr">
        <is>
          <t>Laptop</t>
        </is>
      </c>
      <c r="C11" s="19" t="n">
        <v>610</v>
      </c>
      <c r="D11" s="19" t="n">
        <v>580</v>
      </c>
    </row>
    <row r="12">
      <c r="B12" s="10" t="inlineStr">
        <is>
          <t>Total Assets</t>
        </is>
      </c>
      <c r="C12" s="20" t="n">
        <v>4710</v>
      </c>
      <c r="D12" s="20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8" t="n">
        <v>2030</v>
      </c>
      <c r="D14" s="18" t="n">
        <v>0</v>
      </c>
    </row>
    <row r="15">
      <c r="B15" s="8" t="inlineStr">
        <is>
          <t>Customer Deposit</t>
        </is>
      </c>
      <c r="C15" s="19" t="n">
        <v>220</v>
      </c>
      <c r="D15" s="19" t="n">
        <v>0</v>
      </c>
    </row>
    <row r="16">
      <c r="B16" s="10" t="inlineStr">
        <is>
          <t>Total Liabilities</t>
        </is>
      </c>
      <c r="C16" s="20" t="n">
        <v>2250</v>
      </c>
      <c r="D16" s="20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8" t="n">
        <v>2460</v>
      </c>
      <c r="D18" s="18" t="n">
        <v>2460</v>
      </c>
    </row>
    <row r="19">
      <c r="B19" s="8" t="inlineStr">
        <is>
          <t>Generated</t>
        </is>
      </c>
      <c r="C19" s="19" t="n">
        <v>0</v>
      </c>
      <c r="D19" s="19" t="n">
        <v>2640</v>
      </c>
    </row>
    <row r="20">
      <c r="B20" s="8" t="inlineStr">
        <is>
          <t>Withdrawn</t>
        </is>
      </c>
      <c r="C20" s="19" t="n">
        <v>0</v>
      </c>
      <c r="D20" s="19" t="n">
        <v>-600</v>
      </c>
    </row>
    <row r="21">
      <c r="B21" s="10" t="inlineStr">
        <is>
          <t>Total Member's Capital</t>
        </is>
      </c>
      <c r="C21" s="20" t="n">
        <v>2460</v>
      </c>
      <c r="D21" s="20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1" t="inlineStr">
        <is>
          <t>For the period June 1 – August 31, 2026</t>
        </is>
      </c>
      <c r="D3" s="4" t="n"/>
    </row>
    <row r="4">
      <c r="B4" s="3" t="n"/>
      <c r="D4" s="4" t="n"/>
    </row>
    <row r="5">
      <c r="B5" s="28" t="inlineStr">
        <is>
          <t>Revenue</t>
        </is>
      </c>
      <c r="C5" s="28" t="n"/>
      <c r="D5" s="28" t="n"/>
    </row>
    <row r="6">
      <c r="B6" s="22" t="inlineStr">
        <is>
          <t>Repair services</t>
        </is>
      </c>
      <c r="D6" s="29" t="n">
        <v>6020</v>
      </c>
    </row>
    <row r="7">
      <c r="B7" s="24" t="inlineStr">
        <is>
          <t>Total revenue</t>
        </is>
      </c>
      <c r="C7" s="25" t="n"/>
      <c r="D7" s="26">
        <f>D6</f>
        <v>6020</v>
        <v/>
      </c>
    </row>
    <row r="9">
      <c r="B9" s="28" t="inlineStr">
        <is>
          <t>Expenses</t>
        </is>
      </c>
      <c r="C9" s="28" t="n"/>
      <c r="D9" s="28" t="n"/>
    </row>
    <row r="10">
      <c r="B10" s="22" t="inlineStr">
        <is>
          <t>Parts used</t>
        </is>
      </c>
      <c r="D10" s="29" t="n">
        <v>1200</v>
      </c>
    </row>
    <row r="11">
      <c r="B11" s="22" t="inlineStr">
        <is>
          <t>Rent</t>
        </is>
      </c>
      <c r="D11" s="27" t="n">
        <v>1950</v>
      </c>
    </row>
    <row r="12">
      <c r="B12" s="22" t="inlineStr">
        <is>
          <t>Depreciation</t>
        </is>
      </c>
      <c r="D12" s="27" t="n">
        <v>230</v>
      </c>
    </row>
    <row r="13">
      <c r="B13" s="24" t="inlineStr">
        <is>
          <t>Total expenses</t>
        </is>
      </c>
      <c r="C13" s="25" t="n"/>
      <c r="D13" s="26">
        <f>SUM(D10:D12)</f>
        <v>3380</v>
        <v/>
      </c>
    </row>
    <row r="15">
      <c r="B15" s="24" t="inlineStr">
        <is>
          <t>Net income</t>
        </is>
      </c>
      <c r="C15" s="25" t="n"/>
      <c r="D15" s="26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tabSelected="1" zoomScale="160" zoomScaleNormal="160" workbookViewId="0">
      <selection activeCell="B34" sqref="B34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1" t="inlineStr">
        <is>
          <t>For the period June 1 – August 31, 2026</t>
        </is>
      </c>
    </row>
    <row r="5">
      <c r="B5" s="28" t="inlineStr">
        <is>
          <t>CONTRIBUTED</t>
        </is>
      </c>
      <c r="C5" s="28" t="n"/>
      <c r="D5" s="28" t="n"/>
    </row>
    <row r="6">
      <c r="B6" s="22" t="inlineStr">
        <is>
          <t>Balance, June 1, 2026</t>
        </is>
      </c>
      <c r="D6" s="23" t="n">
        <v>2460</v>
      </c>
    </row>
    <row r="7">
      <c r="B7" s="24" t="inlineStr">
        <is>
          <t>Balance, August 31, 2026</t>
        </is>
      </c>
      <c r="C7" s="25" t="n"/>
      <c r="D7" s="26">
        <f>D6</f>
        <v>2460</v>
        <v/>
      </c>
    </row>
    <row r="8">
      <c r="D8" s="18" t="n"/>
    </row>
    <row r="9">
      <c r="B9" s="28" t="inlineStr">
        <is>
          <t>GENERATED</t>
        </is>
      </c>
      <c r="C9" s="28" t="n"/>
      <c r="D9" s="28" t="n"/>
    </row>
    <row r="10">
      <c r="B10" s="22" t="inlineStr">
        <is>
          <t>Balance, June 1, 2026</t>
        </is>
      </c>
      <c r="D10" s="23" t="n">
        <v>0</v>
      </c>
    </row>
    <row r="11">
      <c r="B11" s="22" t="inlineStr">
        <is>
          <t>Net income (from the Income Statement)</t>
        </is>
      </c>
      <c r="D11" s="27" t="n">
        <v>2640</v>
      </c>
    </row>
    <row r="12">
      <c r="B12" s="24" t="inlineStr">
        <is>
          <t>Balance, August 31, 2026</t>
        </is>
      </c>
      <c r="C12" s="25" t="n"/>
      <c r="D12" s="26">
        <f>D10+D11</f>
        <v>2640</v>
        <v/>
      </c>
    </row>
    <row r="13">
      <c r="D13" s="18" t="n"/>
    </row>
    <row r="14">
      <c r="B14" s="28" t="inlineStr">
        <is>
          <t>WITHDRAWN</t>
        </is>
      </c>
      <c r="C14" s="28" t="n"/>
      <c r="D14" s="28" t="n"/>
    </row>
    <row r="15">
      <c r="B15" s="22" t="inlineStr">
        <is>
          <t>Balance, June 1, 2026</t>
        </is>
      </c>
      <c r="D15" s="23" t="n">
        <v>0</v>
      </c>
    </row>
    <row r="16">
      <c r="B16" s="22" t="inlineStr">
        <is>
          <t>Owner's draw</t>
        </is>
      </c>
      <c r="D16" s="27" t="n">
        <v>-600</v>
      </c>
    </row>
    <row r="17">
      <c r="B17" s="24" t="inlineStr">
        <is>
          <t>Balance, August 31, 2026</t>
        </is>
      </c>
      <c r="C17" s="25" t="n"/>
      <c r="D17" s="26">
        <f>D15+D16</f>
        <v>-600</v>
        <v/>
      </c>
    </row>
    <row r="19">
      <c r="B19" t="inlineStr">
        <is>
          <t>Total Member's Capital, June 1, 2026</t>
        </is>
      </c>
      <c r="D19" s="18" t="n">
        <v>2460</v>
      </c>
    </row>
    <row r="20">
      <c r="B20" t="inlineStr">
        <is>
          <t>Change in total Member's Capital, June 1 to August 31, 2026</t>
        </is>
      </c>
      <c r="D20" s="19" t="n">
        <v>2040</v>
      </c>
    </row>
    <row r="21" ht="16" customHeight="1" thickBot="1">
      <c r="B21" t="inlineStr">
        <is>
          <t>Total Member's Capital, August 31, 2026</t>
        </is>
      </c>
      <c r="D21" s="30" t="n">
        <v>4500</v>
      </c>
    </row>
    <row r="22" ht="16" customHeight="1" thickTop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2026-07-24T21:55:38Z</dcterms:modified>
  <cp:lastModifiedBy>Antle, Rick</cp:lastModifiedBy>
</cp:coreProperties>
</file>