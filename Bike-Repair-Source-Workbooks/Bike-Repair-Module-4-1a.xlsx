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400" yWindow="1640" windowWidth="26120" windowHeight="27720" tabRatio="600" firstSheet="0" activeTab="5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St_Members_Capital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  <font>
      <name val="Calibri"/>
      <family val="2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/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3" fillId="0" borderId="0" pivotButton="0" quotePrefix="0" xfId="0"/>
    <xf numFmtId="165" fontId="5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165" fontId="0" fillId="0" borderId="3" pivotButton="0" quotePrefix="0" xfId="0"/>
    <xf numFmtId="0" fontId="0" fillId="4" borderId="4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00"/>
  <sheetViews>
    <sheetView zoomScale="214" zoomScaleNormal="214" workbookViewId="0">
      <selection activeCell="B16" sqref="B16:D43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  <v/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New repair tool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  <v/>
      </c>
    </row>
    <row r="34">
      <c r="B34" s="7" t="n"/>
      <c r="D34" s="4" t="n"/>
    </row>
    <row r="35">
      <c r="B35" s="6" t="inlineStr">
        <is>
          <t>Accounts Receivable</t>
        </is>
      </c>
      <c r="C35" s="11" t="n"/>
      <c r="D35" s="11" t="n"/>
    </row>
    <row r="36" outlineLevel="1">
      <c r="B36" s="3" t="inlineStr">
        <is>
          <t>Ridgeline Trail Crew — finished Aug 28, net 15 (unpaid)</t>
        </is>
      </c>
      <c r="D36" s="4" t="n">
        <v>300</v>
      </c>
    </row>
    <row r="37">
      <c r="B37" s="16" t="inlineStr">
        <is>
          <t>Balance, August 31, 2026</t>
        </is>
      </c>
      <c r="C37" s="17" t="n"/>
      <c r="D37" s="13">
        <f>SUM(D36:D36)</f>
        <v>300</v>
        <v/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  <v/>
      </c>
    </row>
    <row r="42">
      <c r="B42" s="16" t="inlineStr">
        <is>
          <t>Balance, August 31, 2026</t>
        </is>
      </c>
      <c r="C42" s="17" t="n"/>
      <c r="D42" s="13">
        <f>D41</f>
        <v>650</v>
        <v/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  <v/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  <v/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  <v/>
      </c>
    </row>
    <row r="86" hidden="1" outlineLevel="1">
      <c r="B86" s="3" t="inlineStr">
        <is>
          <t>New repair tool bought this season</t>
        </is>
      </c>
      <c r="D86" s="4" t="n">
        <v>400</v>
      </c>
    </row>
    <row r="87" hidden="1" outlineLevel="1">
      <c r="B87" s="3" t="inlineStr">
        <is>
          <t>Depreciation — Summer 2026 (the season's share of the cost)</t>
        </is>
      </c>
      <c r="D87" s="4" t="n">
        <v>-160</v>
      </c>
    </row>
    <row r="88" collapsed="1">
      <c r="B88" s="16" t="inlineStr">
        <is>
          <t>Balance, August 31, 2026</t>
        </is>
      </c>
      <c r="C88" s="17" t="n"/>
      <c r="D88" s="13">
        <f>D85+SUM(D86:D87)</f>
        <v>1440</v>
        <v/>
      </c>
    </row>
    <row r="89">
      <c r="B89" s="3" t="n"/>
      <c r="D89" s="4" t="n"/>
    </row>
    <row r="90">
      <c r="B90" s="6" t="inlineStr">
        <is>
          <t>Fixtures</t>
        </is>
      </c>
      <c r="C90" s="11" t="n"/>
      <c r="D90" s="11" t="n"/>
    </row>
    <row r="91" hidden="1" outlineLevel="1">
      <c r="B91" s="3" t="inlineStr">
        <is>
          <t>Company received at formation (June 1)</t>
        </is>
      </c>
      <c r="D91" s="4" t="n">
        <v>750</v>
      </c>
    </row>
    <row r="92" collapsed="1">
      <c r="B92" s="16" t="inlineStr">
        <is>
          <t>Balance, June 1, 2026</t>
        </is>
      </c>
      <c r="C92" s="17" t="n"/>
      <c r="D92" s="13">
        <f>SUM(D91:D91)</f>
        <v>750</v>
        <v/>
      </c>
    </row>
    <row r="93" hidden="1" outlineLevel="1">
      <c r="B93" s="3" t="inlineStr">
        <is>
          <t>Depreciation — Summer 2026 (the season's share of the cost)</t>
        </is>
      </c>
      <c r="D93" s="4" t="n">
        <v>-40</v>
      </c>
    </row>
    <row r="94" collapsed="1">
      <c r="B94" s="16" t="inlineStr">
        <is>
          <t>Balance, August 31, 2026</t>
        </is>
      </c>
      <c r="C94" s="17" t="n"/>
      <c r="D94" s="13">
        <f>D92+SUM(D93:D93)</f>
        <v>710</v>
        <v/>
      </c>
    </row>
    <row r="95">
      <c r="B95" s="3" t="n"/>
      <c r="D95" s="4" t="n"/>
    </row>
    <row r="96">
      <c r="B96" s="6" t="inlineStr">
        <is>
          <t>Laptop</t>
        </is>
      </c>
      <c r="C96" s="11" t="n"/>
      <c r="D96" s="11" t="n"/>
    </row>
    <row r="97" hidden="1" outlineLevel="1">
      <c r="B97" s="3" t="inlineStr">
        <is>
          <t>Company received at formation (June 1)</t>
        </is>
      </c>
      <c r="D97" s="4" t="n">
        <v>610</v>
      </c>
    </row>
    <row r="98" collapsed="1">
      <c r="B98" s="16" t="inlineStr">
        <is>
          <t>Balance, June 1, 2026</t>
        </is>
      </c>
      <c r="C98" s="17" t="n"/>
      <c r="D98" s="13">
        <f>SUM(D97:D97)</f>
        <v>610</v>
        <v/>
      </c>
    </row>
    <row r="99" hidden="1" outlineLevel="1">
      <c r="B99" s="3" t="inlineStr">
        <is>
          <t>Depreciation — Summer 2026 (the season's share of the cost)</t>
        </is>
      </c>
      <c r="D99" s="4" t="n">
        <v>-30</v>
      </c>
    </row>
    <row r="100" collapsed="1">
      <c r="B100" s="16" t="inlineStr">
        <is>
          <t>Balance, August 31, 2026</t>
        </is>
      </c>
      <c r="C100" s="17" t="n"/>
      <c r="D100" s="13">
        <f>D98+SUM(D99:D99)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2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  <v/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  <v/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  <v/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6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32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32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32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collapsed="1">
      <c r="B66" s="16" t="inlineStr">
        <is>
          <t>Balance, August 31, 2026</t>
        </is>
      </c>
      <c r="C66" s="17" t="n"/>
      <c r="D66" s="13">
        <f>SUM(D65:D65)</f>
        <v>-600</v>
        <v/>
      </c>
    </row>
    <row r="67" collapsed="1"/>
    <row r="70" hidden="1" outlineLevel="1"/>
    <row r="71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8" t="n">
        <v>1300</v>
      </c>
      <c r="D5" s="18" t="n">
        <v>620</v>
      </c>
    </row>
    <row r="6">
      <c r="B6" s="8" t="inlineStr">
        <is>
          <t>Accounts Receivable</t>
        </is>
      </c>
      <c r="C6" s="19" t="n">
        <v>0</v>
      </c>
      <c r="D6" s="19" t="n">
        <v>300</v>
      </c>
    </row>
    <row r="7">
      <c r="B7" s="8" t="inlineStr">
        <is>
          <t>Right of Use</t>
        </is>
      </c>
      <c r="C7" s="19" t="n">
        <v>650</v>
      </c>
      <c r="D7" s="19" t="n">
        <v>650</v>
      </c>
    </row>
    <row r="8">
      <c r="B8" s="8" t="inlineStr">
        <is>
          <t>Parts</t>
        </is>
      </c>
      <c r="C8" s="19" t="n">
        <v>200</v>
      </c>
      <c r="D8" s="19" t="n">
        <v>200</v>
      </c>
    </row>
    <row r="9">
      <c r="B9" s="8" t="inlineStr">
        <is>
          <t>Tools &amp; Repair Equipment</t>
        </is>
      </c>
      <c r="C9" s="19" t="n">
        <v>1200</v>
      </c>
      <c r="D9" s="19" t="n">
        <v>1440</v>
      </c>
    </row>
    <row r="10">
      <c r="B10" s="8" t="inlineStr">
        <is>
          <t>Fixtures</t>
        </is>
      </c>
      <c r="C10" s="19" t="n">
        <v>750</v>
      </c>
      <c r="D10" s="19" t="n">
        <v>710</v>
      </c>
    </row>
    <row r="11">
      <c r="B11" s="8" t="inlineStr">
        <is>
          <t>Laptop</t>
        </is>
      </c>
      <c r="C11" s="19" t="n">
        <v>610</v>
      </c>
      <c r="D11" s="19" t="n">
        <v>580</v>
      </c>
    </row>
    <row r="12">
      <c r="B12" s="10" t="inlineStr">
        <is>
          <t>Total Assets</t>
        </is>
      </c>
      <c r="C12" s="20" t="n">
        <v>4710</v>
      </c>
      <c r="D12" s="20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8" t="n">
        <v>2030</v>
      </c>
      <c r="D14" s="18" t="n">
        <v>0</v>
      </c>
    </row>
    <row r="15">
      <c r="B15" s="8" t="inlineStr">
        <is>
          <t>Customer Deposit</t>
        </is>
      </c>
      <c r="C15" s="19" t="n">
        <v>220</v>
      </c>
      <c r="D15" s="19" t="n">
        <v>0</v>
      </c>
    </row>
    <row r="16">
      <c r="B16" s="10" t="inlineStr">
        <is>
          <t>Total Liabilities</t>
        </is>
      </c>
      <c r="C16" s="20" t="n">
        <v>2250</v>
      </c>
      <c r="D16" s="20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8" t="n">
        <v>2460</v>
      </c>
      <c r="D18" s="18" t="n">
        <v>2460</v>
      </c>
    </row>
    <row r="19">
      <c r="B19" s="8" t="inlineStr">
        <is>
          <t>Generated</t>
        </is>
      </c>
      <c r="C19" s="19" t="n">
        <v>0</v>
      </c>
      <c r="D19" s="19" t="n">
        <v>2640</v>
      </c>
    </row>
    <row r="20">
      <c r="B20" s="8" t="inlineStr">
        <is>
          <t>Withdrawn</t>
        </is>
      </c>
      <c r="C20" s="19" t="n">
        <v>0</v>
      </c>
      <c r="D20" s="19" t="n">
        <v>-600</v>
      </c>
    </row>
    <row r="21">
      <c r="B21" s="10" t="inlineStr">
        <is>
          <t>Total Member's Capital</t>
        </is>
      </c>
      <c r="C21" s="20" t="n">
        <v>2460</v>
      </c>
      <c r="D21" s="20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D6" sqref="D6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1" t="inlineStr">
        <is>
          <t>For the period June 1 – August 31, 2026</t>
        </is>
      </c>
      <c r="D3" s="4" t="n"/>
    </row>
    <row r="4">
      <c r="B4" s="3" t="n"/>
      <c r="D4" s="4" t="n"/>
    </row>
    <row r="5">
      <c r="B5" s="28" t="inlineStr">
        <is>
          <t>Revenue</t>
        </is>
      </c>
      <c r="C5" s="28" t="n"/>
      <c r="D5" s="28" t="n"/>
    </row>
    <row r="6">
      <c r="B6" s="22" t="inlineStr">
        <is>
          <t>Repair services</t>
        </is>
      </c>
      <c r="D6" s="29" t="n">
        <v>6020</v>
      </c>
    </row>
    <row r="7">
      <c r="B7" s="24" t="inlineStr">
        <is>
          <t>Total revenue</t>
        </is>
      </c>
      <c r="C7" s="25" t="n"/>
      <c r="D7" s="26">
        <f>D6</f>
        <v>6020</v>
        <v/>
      </c>
    </row>
    <row r="9">
      <c r="B9" s="28" t="inlineStr">
        <is>
          <t>Expenses</t>
        </is>
      </c>
      <c r="C9" s="28" t="n"/>
      <c r="D9" s="28" t="n"/>
    </row>
    <row r="10">
      <c r="B10" s="22" t="inlineStr">
        <is>
          <t>Parts used</t>
        </is>
      </c>
      <c r="D10" s="29" t="n">
        <v>1200</v>
      </c>
    </row>
    <row r="11">
      <c r="B11" s="22" t="inlineStr">
        <is>
          <t>Rent</t>
        </is>
      </c>
      <c r="D11" s="27" t="n">
        <v>1950</v>
      </c>
    </row>
    <row r="12">
      <c r="B12" s="22" t="inlineStr">
        <is>
          <t>Depreciation</t>
        </is>
      </c>
      <c r="D12" s="27" t="n">
        <v>230</v>
      </c>
    </row>
    <row r="13">
      <c r="B13" s="24" t="inlineStr">
        <is>
          <t>Total expenses</t>
        </is>
      </c>
      <c r="C13" s="25" t="n"/>
      <c r="D13" s="26">
        <f>SUM(D10:D12)</f>
        <v>3380</v>
        <v/>
      </c>
    </row>
    <row r="15">
      <c r="B15" s="24" t="inlineStr">
        <is>
          <t>Net income</t>
        </is>
      </c>
      <c r="C15" s="25" t="n"/>
      <c r="D15" s="26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tabSelected="1" zoomScale="160" zoomScaleNormal="160" workbookViewId="0">
      <selection activeCell="B34" sqref="B34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1" t="inlineStr">
        <is>
          <t>For the period June 1 – August 31, 2026</t>
        </is>
      </c>
    </row>
    <row r="5">
      <c r="B5" s="28" t="inlineStr">
        <is>
          <t>CONTRIBUTED</t>
        </is>
      </c>
      <c r="C5" s="28" t="n"/>
      <c r="D5" s="28" t="n"/>
    </row>
    <row r="6">
      <c r="B6" s="22" t="inlineStr">
        <is>
          <t>Balance, June 1, 2026</t>
        </is>
      </c>
      <c r="D6" s="23" t="n">
        <v>2460</v>
      </c>
    </row>
    <row r="7">
      <c r="B7" s="24" t="inlineStr">
        <is>
          <t>Balance, August 31, 2026</t>
        </is>
      </c>
      <c r="C7" s="25" t="n"/>
      <c r="D7" s="26">
        <f>D6</f>
        <v>2460</v>
        <v/>
      </c>
    </row>
    <row r="8">
      <c r="D8" s="18" t="n"/>
    </row>
    <row r="9">
      <c r="B9" s="28" t="inlineStr">
        <is>
          <t>GENERATED</t>
        </is>
      </c>
      <c r="C9" s="28" t="n"/>
      <c r="D9" s="28" t="n"/>
    </row>
    <row r="10">
      <c r="B10" s="22" t="inlineStr">
        <is>
          <t>Balance, June 1, 2026</t>
        </is>
      </c>
      <c r="D10" s="23" t="n">
        <v>0</v>
      </c>
    </row>
    <row r="11">
      <c r="B11" s="22" t="inlineStr">
        <is>
          <t>Net income (from the Income Statement)</t>
        </is>
      </c>
      <c r="D11" s="27" t="n">
        <v>2640</v>
      </c>
    </row>
    <row r="12">
      <c r="B12" s="24" t="inlineStr">
        <is>
          <t>Balance, August 31, 2026</t>
        </is>
      </c>
      <c r="C12" s="25" t="n"/>
      <c r="D12" s="26">
        <f>D10+D11</f>
        <v>2640</v>
        <v/>
      </c>
    </row>
    <row r="13">
      <c r="D13" s="18" t="n"/>
    </row>
    <row r="14">
      <c r="B14" s="28" t="inlineStr">
        <is>
          <t>WITHDRAWN</t>
        </is>
      </c>
      <c r="C14" s="28" t="n"/>
      <c r="D14" s="28" t="n"/>
    </row>
    <row r="15">
      <c r="B15" s="22" t="inlineStr">
        <is>
          <t>Balance, June 1, 2026</t>
        </is>
      </c>
      <c r="D15" s="23" t="n">
        <v>0</v>
      </c>
    </row>
    <row r="16">
      <c r="B16" s="22" t="inlineStr">
        <is>
          <t>Owner's draw</t>
        </is>
      </c>
      <c r="D16" s="27" t="n">
        <v>-600</v>
      </c>
    </row>
    <row r="17">
      <c r="B17" s="24" t="inlineStr">
        <is>
          <t>Balance, August 31, 2026</t>
        </is>
      </c>
      <c r="C17" s="25" t="n"/>
      <c r="D17" s="26">
        <f>D15+D16</f>
        <v>-600</v>
        <v/>
      </c>
    </row>
    <row r="19">
      <c r="B19" t="inlineStr">
        <is>
          <t>Total Member's Capital, June 1, 2026</t>
        </is>
      </c>
      <c r="D19" s="18" t="n">
        <v>2460</v>
      </c>
    </row>
    <row r="20">
      <c r="B20" t="inlineStr">
        <is>
          <t>Change in total Member's Capital, June 1 to August 31, 2026</t>
        </is>
      </c>
      <c r="D20" s="19" t="n">
        <v>2040</v>
      </c>
    </row>
    <row r="21" ht="16" customHeight="1" thickBot="1">
      <c r="B21" t="inlineStr">
        <is>
          <t>Total Member's Capital, August 31, 2026</t>
        </is>
      </c>
      <c r="D21" s="30" t="n">
        <v>4500</v>
      </c>
    </row>
    <row r="22" ht="16" customHeight="1" thickTop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2026-07-24T22:09:08Z</dcterms:modified>
  <cp:lastModifiedBy>Antle, Rick</cp:lastModifiedBy>
</cp:coreProperties>
</file>