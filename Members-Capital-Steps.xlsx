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a1/Courses-Local/Instructional_Redesign_v2/"/>
    </mc:Choice>
  </mc:AlternateContent>
  <xr:revisionPtr revIDLastSave="0" documentId="13_ncr:1_{99C7CC65-231F-A24E-85E6-7684BD37C17E}" xr6:coauthVersionLast="47" xr6:coauthVersionMax="47" xr10:uidLastSave="{00000000-0000-0000-0000-000000000000}"/>
  <bookViews>
    <workbookView xWindow="32120" yWindow="3520" windowWidth="38500" windowHeight="27280" activeTab="3" xr2:uid="{00000000-000D-0000-FFFF-FFFF00000000}"/>
  </bookViews>
  <sheets>
    <sheet name="0 · Data copied in" sheetId="1" r:id="rId1"/>
    <sheet name="1 · Fold each pile" sheetId="2" r:id="rId2"/>
    <sheet name="2 · Identify the reasons" sheetId="3" r:id="rId3"/>
    <sheet name="3 · Make the statem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4" l="1"/>
  <c r="D11" i="4"/>
  <c r="D6" i="4"/>
  <c r="D17" i="3"/>
  <c r="D12" i="3"/>
  <c r="D7" i="3"/>
  <c r="D17" i="2"/>
  <c r="D12" i="2"/>
  <c r="D7" i="2"/>
  <c r="D72" i="1"/>
  <c r="D22" i="1"/>
  <c r="D68" i="1" s="1"/>
  <c r="D9" i="1"/>
  <c r="D10" i="1" s="1"/>
</calcChain>
</file>

<file path=xl/sharedStrings.xml><?xml version="1.0" encoding="utf-8"?>
<sst xmlns="http://schemas.openxmlformats.org/spreadsheetml/2006/main" count="114" uniqueCount="73">
  <si>
    <t>Statement of Members' Capital</t>
  </si>
  <si>
    <t>For the period June 1 – August 31, 2026</t>
  </si>
  <si>
    <t>CONTRIBUTED</t>
  </si>
  <si>
    <t>Cash — covered from your personal funds (May)</t>
  </si>
  <si>
    <t>Laptop — brought from home (May)</t>
  </si>
  <si>
    <t>Equipment — gear from home — grinder, headset press, shop vacuum (May)</t>
  </si>
  <si>
    <t>Cash — deposited to open the LLC bank account (June 1)</t>
  </si>
  <si>
    <t>Balance, June 1, 2026</t>
  </si>
  <si>
    <t>Balance, August 31, 2026</t>
  </si>
  <si>
    <t>GENERATED</t>
  </si>
  <si>
    <t>Repair collected — Brake job + Tune-up + Tire mounting ×2 @ $70</t>
  </si>
  <si>
    <t>Repair collected — Walk-ins — mixed work (no itemized detail)</t>
  </si>
  <si>
    <t>Repair collected — Tune-up</t>
  </si>
  <si>
    <t>Repair collected — Brake overhaul</t>
  </si>
  <si>
    <t>Repair collected — Chain + cassette replacement</t>
  </si>
  <si>
    <t>Repair collected — Tune-up + minor repair</t>
  </si>
  <si>
    <t>Repair collected — Custom wheel work + new spokes</t>
  </si>
  <si>
    <t>Parts used — May</t>
  </si>
  <si>
    <t>Rent used — May</t>
  </si>
  <si>
    <t>Rent used — June</t>
  </si>
  <si>
    <t>Repair collected — Dana R.</t>
  </si>
  <si>
    <t>Parts used — Dana R.</t>
  </si>
  <si>
    <t>Repair collected — Marcus T.</t>
  </si>
  <si>
    <t>Repair collected — Priya S.</t>
  </si>
  <si>
    <t>Parts used — Priya S.</t>
  </si>
  <si>
    <t>Repair collected — Liam O.</t>
  </si>
  <si>
    <t>Parts used — Liam O.</t>
  </si>
  <si>
    <t>Repair collected — Sofia M.</t>
  </si>
  <si>
    <t>Repair collected — Jamal W.</t>
  </si>
  <si>
    <t>Parts used — Jamal W.</t>
  </si>
  <si>
    <t>Repair collected — Erin K.</t>
  </si>
  <si>
    <t>Parts used — Erin K.</t>
  </si>
  <si>
    <t>Repair collected — Noah B.</t>
  </si>
  <si>
    <t>Parts used — Noah B.</t>
  </si>
  <si>
    <t>Rent used — July</t>
  </si>
  <si>
    <t>Repair collected — Grace L.</t>
  </si>
  <si>
    <t>Parts used — Grace L.</t>
  </si>
  <si>
    <t>Repair collected — Theo H.</t>
  </si>
  <si>
    <t>Parts used — Theo H.</t>
  </si>
  <si>
    <t>Repair collected — Maya P.</t>
  </si>
  <si>
    <t>Parts used — Maya P.</t>
  </si>
  <si>
    <t>Repair collected — Owen C.</t>
  </si>
  <si>
    <t>Parts used — Owen C.</t>
  </si>
  <si>
    <t>Repair collected — Ava D.</t>
  </si>
  <si>
    <t>Parts used — Ava D.</t>
  </si>
  <si>
    <t>Repair collected — Leo F.</t>
  </si>
  <si>
    <t>Parts used — Leo F.</t>
  </si>
  <si>
    <t>Repair collected — Nina V.</t>
  </si>
  <si>
    <t>Parts used — Nina V.</t>
  </si>
  <si>
    <t>Rent used — August</t>
  </si>
  <si>
    <t>Repair collected — Caleb G.</t>
  </si>
  <si>
    <t>Parts used — Caleb G.</t>
  </si>
  <si>
    <t>Repair collected — Ruth A.</t>
  </si>
  <si>
    <t>Parts used — Ruth A.</t>
  </si>
  <si>
    <t>Repair collected — Sam Q.</t>
  </si>
  <si>
    <t>Parts used — Sam Q.</t>
  </si>
  <si>
    <t>Repair collected — Westville Bike Share</t>
  </si>
  <si>
    <t>Parts used — Westville Bike Share</t>
  </si>
  <si>
    <t>Repair delivered — Ridgeline Trail Crew, billed net 15 (unpaid)</t>
  </si>
  <si>
    <t>Parts used — Ridgeline Trail Crew</t>
  </si>
  <si>
    <t>Frame delivered — J. Smith (deposit earned)</t>
  </si>
  <si>
    <t>Parts used — J. Smith</t>
  </si>
  <si>
    <t>Depreciation — tools, equipment &amp; fixtures, Summer 2026</t>
  </si>
  <si>
    <t>Depreciation — laptop, Summer 2026</t>
  </si>
  <si>
    <t>WITHDRAWN</t>
  </si>
  <si>
    <t>Owner's draw — money taken out for personal use</t>
  </si>
  <si>
    <t>Change during the period</t>
  </si>
  <si>
    <t>Reason for the change</t>
  </si>
  <si>
    <t>No new money or gear was put in during June–August — no change.</t>
  </si>
  <si>
    <t>← Net income: what the repair work generated over the period. This is the same 2,640 from the Income Statement.</t>
  </si>
  <si>
    <t>← Owner's draw: money the owner took out for personal use.</t>
  </si>
  <si>
    <t>Net income (from the Income Statement)</t>
  </si>
  <si>
    <t>Owner's 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</si>
</sst>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\$#,##0;\(\$#,##0\)"/>
    <numFmt numFmtId="168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i/>
      <sz val="11"/>
      <color theme="1" tint="0.2999969481490524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4" fillId="0" borderId="0" xfId="0" applyNumberFormat="1" applyFont="1"/>
    <xf numFmtId="0" fontId="4" fillId="3" borderId="1" xfId="0" applyFont="1" applyFill="1" applyBorder="1"/>
    <xf numFmtId="0" fontId="0" fillId="3" borderId="1" xfId="0" applyFill="1" applyBorder="1"/>
    <xf numFmtId="164" fontId="3" fillId="3" borderId="1" xfId="0" applyNumberFormat="1" applyFont="1" applyFill="1" applyBorder="1"/>
    <xf numFmtId="164" fontId="5" fillId="0" borderId="0" xfId="0" applyNumberFormat="1" applyFont="1"/>
    <xf numFmtId="0" fontId="4" fillId="0" borderId="0" xfId="0" applyFont="1" applyAlignment="1">
      <alignment horizontal="right"/>
    </xf>
    <xf numFmtId="0" fontId="3" fillId="0" borderId="0" xfId="0" applyFont="1"/>
    <xf numFmtId="0" fontId="6" fillId="0" borderId="0" xfId="0" applyFont="1"/>
    <xf numFmtId="168" fontId="5" fillId="0" borderId="0" xfId="0" applyNumberFormat="1" applyFont="1"/>
    <xf numFmtId="168" fontId="3" fillId="3" borderId="1" xfId="0" applyNumberFormat="1" applyFont="1" applyFill="1" applyBorder="1"/>
    <xf numFmtId="168" fontId="0" fillId="0" borderId="0" xfId="0" applyNumberFormat="1"/>
    <xf numFmtId="41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72"/>
  <sheetViews>
    <sheetView zoomScale="140" zoomScaleNormal="140" workbookViewId="0"/>
  </sheetViews>
  <sheetFormatPr baseColWidth="10" defaultColWidth="8.83203125" defaultRowHeight="15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0</v>
      </c>
    </row>
    <row r="2" spans="2:4" x14ac:dyDescent="0.2">
      <c r="B2" s="2" t="s">
        <v>1</v>
      </c>
    </row>
    <row r="4" spans="2:4" x14ac:dyDescent="0.2">
      <c r="B4" s="3" t="s">
        <v>2</v>
      </c>
    </row>
    <row r="5" spans="2:4" x14ac:dyDescent="0.2">
      <c r="B5" s="4" t="s">
        <v>3</v>
      </c>
      <c r="D5" s="5">
        <v>160</v>
      </c>
    </row>
    <row r="6" spans="2:4" x14ac:dyDescent="0.2">
      <c r="B6" s="4" t="s">
        <v>4</v>
      </c>
      <c r="D6" s="5">
        <v>610</v>
      </c>
    </row>
    <row r="7" spans="2:4" x14ac:dyDescent="0.2">
      <c r="B7" s="4" t="s">
        <v>5</v>
      </c>
      <c r="D7" s="5">
        <v>220</v>
      </c>
    </row>
    <row r="8" spans="2:4" x14ac:dyDescent="0.2">
      <c r="B8" s="4" t="s">
        <v>6</v>
      </c>
      <c r="D8" s="5">
        <v>1300</v>
      </c>
    </row>
    <row r="9" spans="2:4" x14ac:dyDescent="0.2">
      <c r="B9" s="6" t="s">
        <v>7</v>
      </c>
      <c r="C9" s="7"/>
      <c r="D9" s="8">
        <f>SUM(D5:D8)</f>
        <v>2290</v>
      </c>
    </row>
    <row r="10" spans="2:4" x14ac:dyDescent="0.2">
      <c r="B10" s="6" t="s">
        <v>8</v>
      </c>
      <c r="C10" s="7"/>
      <c r="D10" s="8">
        <f>D9</f>
        <v>2290</v>
      </c>
    </row>
    <row r="12" spans="2:4" x14ac:dyDescent="0.2">
      <c r="B12" s="3" t="s">
        <v>9</v>
      </c>
    </row>
    <row r="13" spans="2:4" x14ac:dyDescent="0.2">
      <c r="B13" s="4" t="s">
        <v>10</v>
      </c>
      <c r="D13" s="5">
        <v>340</v>
      </c>
    </row>
    <row r="14" spans="2:4" x14ac:dyDescent="0.2">
      <c r="B14" s="4" t="s">
        <v>11</v>
      </c>
      <c r="D14" s="5">
        <v>180</v>
      </c>
    </row>
    <row r="15" spans="2:4" x14ac:dyDescent="0.2">
      <c r="B15" s="4" t="s">
        <v>12</v>
      </c>
      <c r="D15" s="5">
        <v>80</v>
      </c>
    </row>
    <row r="16" spans="2:4" x14ac:dyDescent="0.2">
      <c r="B16" s="4" t="s">
        <v>13</v>
      </c>
      <c r="D16" s="5">
        <v>140</v>
      </c>
    </row>
    <row r="17" spans="2:4" x14ac:dyDescent="0.2">
      <c r="B17" s="4" t="s">
        <v>14</v>
      </c>
      <c r="D17" s="5">
        <v>130</v>
      </c>
    </row>
    <row r="18" spans="2:4" x14ac:dyDescent="0.2">
      <c r="B18" s="4" t="s">
        <v>15</v>
      </c>
      <c r="D18" s="5">
        <v>100</v>
      </c>
    </row>
    <row r="19" spans="2:4" x14ac:dyDescent="0.2">
      <c r="B19" s="4" t="s">
        <v>16</v>
      </c>
      <c r="D19" s="5">
        <v>150</v>
      </c>
    </row>
    <row r="20" spans="2:4" x14ac:dyDescent="0.2">
      <c r="B20" s="4" t="s">
        <v>17</v>
      </c>
      <c r="D20" s="5">
        <v>-300</v>
      </c>
    </row>
    <row r="21" spans="2:4" x14ac:dyDescent="0.2">
      <c r="B21" s="4" t="s">
        <v>18</v>
      </c>
      <c r="D21" s="5">
        <v>-650</v>
      </c>
    </row>
    <row r="22" spans="2:4" x14ac:dyDescent="0.2">
      <c r="B22" s="6" t="s">
        <v>7</v>
      </c>
      <c r="C22" s="7"/>
      <c r="D22" s="8">
        <f>SUM(D13:D21)</f>
        <v>170</v>
      </c>
    </row>
    <row r="23" spans="2:4" x14ac:dyDescent="0.2">
      <c r="B23" s="4" t="s">
        <v>19</v>
      </c>
      <c r="D23" s="5">
        <v>-650</v>
      </c>
    </row>
    <row r="24" spans="2:4" x14ac:dyDescent="0.2">
      <c r="B24" s="4" t="s">
        <v>20</v>
      </c>
      <c r="D24" s="5">
        <v>120</v>
      </c>
    </row>
    <row r="25" spans="2:4" x14ac:dyDescent="0.2">
      <c r="B25" s="4" t="s">
        <v>21</v>
      </c>
      <c r="D25" s="5">
        <v>-10</v>
      </c>
    </row>
    <row r="26" spans="2:4" x14ac:dyDescent="0.2">
      <c r="B26" s="4" t="s">
        <v>22</v>
      </c>
      <c r="D26" s="5">
        <v>150</v>
      </c>
    </row>
    <row r="27" spans="2:4" x14ac:dyDescent="0.2">
      <c r="B27" s="4" t="s">
        <v>23</v>
      </c>
      <c r="D27" s="5">
        <v>270</v>
      </c>
    </row>
    <row r="28" spans="2:4" x14ac:dyDescent="0.2">
      <c r="B28" s="4" t="s">
        <v>24</v>
      </c>
      <c r="D28" s="5">
        <v>-25</v>
      </c>
    </row>
    <row r="29" spans="2:4" x14ac:dyDescent="0.2">
      <c r="B29" s="4" t="s">
        <v>25</v>
      </c>
      <c r="D29" s="5">
        <v>300</v>
      </c>
    </row>
    <row r="30" spans="2:4" x14ac:dyDescent="0.2">
      <c r="B30" s="4" t="s">
        <v>26</v>
      </c>
      <c r="D30" s="5">
        <v>-95</v>
      </c>
    </row>
    <row r="31" spans="2:4" x14ac:dyDescent="0.2">
      <c r="B31" s="4" t="s">
        <v>27</v>
      </c>
      <c r="D31" s="5">
        <v>150</v>
      </c>
    </row>
    <row r="32" spans="2:4" x14ac:dyDescent="0.2">
      <c r="B32" s="4" t="s">
        <v>28</v>
      </c>
      <c r="D32" s="5">
        <v>360</v>
      </c>
    </row>
    <row r="33" spans="2:4" x14ac:dyDescent="0.2">
      <c r="B33" s="4" t="s">
        <v>29</v>
      </c>
      <c r="D33" s="5">
        <v>-60</v>
      </c>
    </row>
    <row r="34" spans="2:4" x14ac:dyDescent="0.2">
      <c r="B34" s="4" t="s">
        <v>30</v>
      </c>
      <c r="D34" s="5">
        <v>225</v>
      </c>
    </row>
    <row r="35" spans="2:4" x14ac:dyDescent="0.2">
      <c r="B35" s="4" t="s">
        <v>31</v>
      </c>
      <c r="D35" s="5">
        <v>-40</v>
      </c>
    </row>
    <row r="36" spans="2:4" x14ac:dyDescent="0.2">
      <c r="B36" s="4" t="s">
        <v>32</v>
      </c>
      <c r="D36" s="5">
        <v>210</v>
      </c>
    </row>
    <row r="37" spans="2:4" x14ac:dyDescent="0.2">
      <c r="B37" s="4" t="s">
        <v>33</v>
      </c>
      <c r="D37" s="5">
        <v>-65</v>
      </c>
    </row>
    <row r="38" spans="2:4" x14ac:dyDescent="0.2">
      <c r="B38" s="4" t="s">
        <v>34</v>
      </c>
      <c r="D38" s="5">
        <v>-650</v>
      </c>
    </row>
    <row r="39" spans="2:4" x14ac:dyDescent="0.2">
      <c r="B39" s="4" t="s">
        <v>35</v>
      </c>
      <c r="D39" s="5">
        <v>240</v>
      </c>
    </row>
    <row r="40" spans="2:4" x14ac:dyDescent="0.2">
      <c r="B40" s="4" t="s">
        <v>36</v>
      </c>
      <c r="D40" s="5">
        <v>-35</v>
      </c>
    </row>
    <row r="41" spans="2:4" x14ac:dyDescent="0.2">
      <c r="B41" s="4" t="s">
        <v>37</v>
      </c>
      <c r="D41" s="5">
        <v>240</v>
      </c>
    </row>
    <row r="42" spans="2:4" x14ac:dyDescent="0.2">
      <c r="B42" s="4" t="s">
        <v>38</v>
      </c>
      <c r="D42" s="5">
        <v>-25</v>
      </c>
    </row>
    <row r="43" spans="2:4" x14ac:dyDescent="0.2">
      <c r="B43" s="4" t="s">
        <v>39</v>
      </c>
      <c r="D43" s="5">
        <v>450</v>
      </c>
    </row>
    <row r="44" spans="2:4" x14ac:dyDescent="0.2">
      <c r="B44" s="4" t="s">
        <v>40</v>
      </c>
      <c r="D44" s="5">
        <v>-125</v>
      </c>
    </row>
    <row r="45" spans="2:4" x14ac:dyDescent="0.2">
      <c r="B45" s="4" t="s">
        <v>41</v>
      </c>
      <c r="D45" s="5">
        <v>360</v>
      </c>
    </row>
    <row r="46" spans="2:4" x14ac:dyDescent="0.2">
      <c r="B46" s="4" t="s">
        <v>42</v>
      </c>
      <c r="D46" s="5">
        <v>-55</v>
      </c>
    </row>
    <row r="47" spans="2:4" x14ac:dyDescent="0.2">
      <c r="B47" s="4" t="s">
        <v>43</v>
      </c>
      <c r="D47" s="5">
        <v>270</v>
      </c>
    </row>
    <row r="48" spans="2:4" x14ac:dyDescent="0.2">
      <c r="B48" s="4" t="s">
        <v>44</v>
      </c>
      <c r="D48" s="5">
        <v>-45</v>
      </c>
    </row>
    <row r="49" spans="2:4" x14ac:dyDescent="0.2">
      <c r="B49" s="4" t="s">
        <v>45</v>
      </c>
      <c r="D49" s="5">
        <v>240</v>
      </c>
    </row>
    <row r="50" spans="2:4" x14ac:dyDescent="0.2">
      <c r="B50" s="4" t="s">
        <v>46</v>
      </c>
      <c r="D50" s="5">
        <v>-100</v>
      </c>
    </row>
    <row r="51" spans="2:4" x14ac:dyDescent="0.2">
      <c r="B51" s="4" t="s">
        <v>47</v>
      </c>
      <c r="D51" s="5">
        <v>300</v>
      </c>
    </row>
    <row r="52" spans="2:4" x14ac:dyDescent="0.2">
      <c r="B52" s="4" t="s">
        <v>48</v>
      </c>
      <c r="D52" s="5">
        <v>-80</v>
      </c>
    </row>
    <row r="53" spans="2:4" x14ac:dyDescent="0.2">
      <c r="B53" s="4" t="s">
        <v>49</v>
      </c>
      <c r="D53" s="5">
        <v>-650</v>
      </c>
    </row>
    <row r="54" spans="2:4" x14ac:dyDescent="0.2">
      <c r="B54" s="4" t="s">
        <v>50</v>
      </c>
      <c r="D54" s="5">
        <v>240</v>
      </c>
    </row>
    <row r="55" spans="2:4" x14ac:dyDescent="0.2">
      <c r="B55" s="4" t="s">
        <v>51</v>
      </c>
      <c r="D55" s="5">
        <v>-25</v>
      </c>
    </row>
    <row r="56" spans="2:4" x14ac:dyDescent="0.2">
      <c r="B56" s="4" t="s">
        <v>52</v>
      </c>
      <c r="D56" s="5">
        <v>485</v>
      </c>
    </row>
    <row r="57" spans="2:4" x14ac:dyDescent="0.2">
      <c r="B57" s="4" t="s">
        <v>53</v>
      </c>
      <c r="D57" s="5">
        <v>-129</v>
      </c>
    </row>
    <row r="58" spans="2:4" x14ac:dyDescent="0.2">
      <c r="B58" s="4" t="s">
        <v>54</v>
      </c>
      <c r="D58" s="5">
        <v>390</v>
      </c>
    </row>
    <row r="59" spans="2:4" x14ac:dyDescent="0.2">
      <c r="B59" s="4" t="s">
        <v>55</v>
      </c>
      <c r="D59" s="5">
        <v>-70</v>
      </c>
    </row>
    <row r="60" spans="2:4" x14ac:dyDescent="0.2">
      <c r="B60" s="4" t="s">
        <v>56</v>
      </c>
      <c r="D60" s="5">
        <v>500</v>
      </c>
    </row>
    <row r="61" spans="2:4" x14ac:dyDescent="0.2">
      <c r="B61" s="4" t="s">
        <v>57</v>
      </c>
      <c r="D61" s="5">
        <v>-105</v>
      </c>
    </row>
    <row r="62" spans="2:4" x14ac:dyDescent="0.2">
      <c r="B62" s="4" t="s">
        <v>58</v>
      </c>
      <c r="D62" s="5">
        <v>300</v>
      </c>
    </row>
    <row r="63" spans="2:4" x14ac:dyDescent="0.2">
      <c r="B63" s="4" t="s">
        <v>59</v>
      </c>
      <c r="D63" s="5">
        <v>-75</v>
      </c>
    </row>
    <row r="64" spans="2:4" x14ac:dyDescent="0.2">
      <c r="B64" s="4" t="s">
        <v>60</v>
      </c>
      <c r="D64" s="5">
        <v>220</v>
      </c>
    </row>
    <row r="65" spans="2:4" x14ac:dyDescent="0.2">
      <c r="B65" s="4" t="s">
        <v>61</v>
      </c>
      <c r="D65" s="5">
        <v>-36</v>
      </c>
    </row>
    <row r="66" spans="2:4" x14ac:dyDescent="0.2">
      <c r="B66" s="4" t="s">
        <v>62</v>
      </c>
      <c r="D66" s="5">
        <v>-200</v>
      </c>
    </row>
    <row r="67" spans="2:4" x14ac:dyDescent="0.2">
      <c r="B67" s="4" t="s">
        <v>63</v>
      </c>
      <c r="D67" s="5">
        <v>-30</v>
      </c>
    </row>
    <row r="68" spans="2:4" x14ac:dyDescent="0.2">
      <c r="B68" s="6" t="s">
        <v>8</v>
      </c>
      <c r="C68" s="7"/>
      <c r="D68" s="8">
        <f>D22+SUM(D23:D67)</f>
        <v>2810</v>
      </c>
    </row>
    <row r="70" spans="2:4" x14ac:dyDescent="0.2">
      <c r="B70" s="3" t="s">
        <v>64</v>
      </c>
    </row>
    <row r="71" spans="2:4" x14ac:dyDescent="0.2">
      <c r="B71" s="4" t="s">
        <v>65</v>
      </c>
      <c r="D71" s="5">
        <v>-600</v>
      </c>
    </row>
    <row r="72" spans="2:4" x14ac:dyDescent="0.2">
      <c r="B72" s="6" t="s">
        <v>8</v>
      </c>
      <c r="C72" s="7"/>
      <c r="D72" s="8">
        <f>SUM(D71:D71)</f>
        <v>-600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7"/>
  <sheetViews>
    <sheetView zoomScale="140" zoomScaleNormal="140" workbookViewId="0">
      <selection activeCell="D7" sqref="D7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0</v>
      </c>
    </row>
    <row r="2" spans="2:4" x14ac:dyDescent="0.2">
      <c r="B2" s="2" t="s">
        <v>1</v>
      </c>
    </row>
    <row r="4" spans="2:4" x14ac:dyDescent="0.2">
      <c r="B4" s="3" t="s">
        <v>2</v>
      </c>
    </row>
    <row r="5" spans="2:4" x14ac:dyDescent="0.2">
      <c r="B5" s="4" t="s">
        <v>7</v>
      </c>
      <c r="D5" s="9">
        <v>2290</v>
      </c>
    </row>
    <row r="6" spans="2:4" x14ac:dyDescent="0.2">
      <c r="B6" s="4" t="s">
        <v>66</v>
      </c>
      <c r="D6" s="10">
        <v>0</v>
      </c>
    </row>
    <row r="7" spans="2:4" x14ac:dyDescent="0.2">
      <c r="B7" s="6" t="s">
        <v>8</v>
      </c>
      <c r="C7" s="7"/>
      <c r="D7" s="8">
        <f>D5+D6</f>
        <v>2290</v>
      </c>
    </row>
    <row r="9" spans="2:4" x14ac:dyDescent="0.2">
      <c r="B9" s="3" t="s">
        <v>9</v>
      </c>
    </row>
    <row r="10" spans="2:4" x14ac:dyDescent="0.2">
      <c r="B10" s="4" t="s">
        <v>7</v>
      </c>
      <c r="D10" s="9">
        <v>170</v>
      </c>
    </row>
    <row r="11" spans="2:4" x14ac:dyDescent="0.2">
      <c r="B11" s="4" t="s">
        <v>66</v>
      </c>
      <c r="D11" s="5">
        <v>2640</v>
      </c>
    </row>
    <row r="12" spans="2:4" x14ac:dyDescent="0.2">
      <c r="B12" s="6" t="s">
        <v>8</v>
      </c>
      <c r="C12" s="7"/>
      <c r="D12" s="8">
        <f>D10+D11</f>
        <v>2810</v>
      </c>
    </row>
    <row r="14" spans="2:4" x14ac:dyDescent="0.2">
      <c r="B14" s="3" t="s">
        <v>64</v>
      </c>
    </row>
    <row r="15" spans="2:4" x14ac:dyDescent="0.2">
      <c r="B15" s="4" t="s">
        <v>7</v>
      </c>
      <c r="D15" s="9">
        <v>0</v>
      </c>
    </row>
    <row r="16" spans="2:4" x14ac:dyDescent="0.2">
      <c r="B16" s="4" t="s">
        <v>66</v>
      </c>
      <c r="D16" s="5">
        <v>-600</v>
      </c>
    </row>
    <row r="17" spans="2:4" x14ac:dyDescent="0.2">
      <c r="B17" s="6" t="s">
        <v>8</v>
      </c>
      <c r="C17" s="7"/>
      <c r="D17" s="8">
        <f>D15+D16</f>
        <v>-600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7"/>
  <sheetViews>
    <sheetView zoomScale="160" zoomScaleNormal="160" workbookViewId="0">
      <selection activeCell="F36" sqref="F36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3" customWidth="1"/>
    <col min="4" max="4" width="14" customWidth="1"/>
    <col min="5" max="5" width="2" customWidth="1"/>
    <col min="6" max="6" width="62" customWidth="1"/>
  </cols>
  <sheetData>
    <row r="1" spans="2:6" ht="19" x14ac:dyDescent="0.25">
      <c r="B1" s="1" t="s">
        <v>0</v>
      </c>
    </row>
    <row r="2" spans="2:6" x14ac:dyDescent="0.2">
      <c r="B2" s="2" t="s">
        <v>1</v>
      </c>
    </row>
    <row r="3" spans="2:6" x14ac:dyDescent="0.2">
      <c r="F3" s="11" t="s">
        <v>67</v>
      </c>
    </row>
    <row r="4" spans="2:6" x14ac:dyDescent="0.2">
      <c r="B4" s="3" t="s">
        <v>2</v>
      </c>
    </row>
    <row r="5" spans="2:6" x14ac:dyDescent="0.2">
      <c r="B5" s="4" t="s">
        <v>7</v>
      </c>
      <c r="D5" s="9">
        <v>2290</v>
      </c>
    </row>
    <row r="6" spans="2:6" x14ac:dyDescent="0.2">
      <c r="B6" s="4" t="s">
        <v>66</v>
      </c>
      <c r="D6" s="10">
        <v>0</v>
      </c>
      <c r="F6" s="12" t="s">
        <v>68</v>
      </c>
    </row>
    <row r="7" spans="2:6" x14ac:dyDescent="0.2">
      <c r="B7" s="6" t="s">
        <v>8</v>
      </c>
      <c r="C7" s="7"/>
      <c r="D7" s="8">
        <f>D5+D6</f>
        <v>2290</v>
      </c>
    </row>
    <row r="9" spans="2:6" x14ac:dyDescent="0.2">
      <c r="B9" s="3" t="s">
        <v>9</v>
      </c>
    </row>
    <row r="10" spans="2:6" x14ac:dyDescent="0.2">
      <c r="B10" s="4" t="s">
        <v>7</v>
      </c>
      <c r="D10" s="9">
        <v>170</v>
      </c>
    </row>
    <row r="11" spans="2:6" x14ac:dyDescent="0.2">
      <c r="B11" s="4" t="s">
        <v>66</v>
      </c>
      <c r="D11" s="5">
        <v>2640</v>
      </c>
      <c r="F11" s="12" t="s">
        <v>69</v>
      </c>
    </row>
    <row r="12" spans="2:6" x14ac:dyDescent="0.2">
      <c r="B12" s="6" t="s">
        <v>8</v>
      </c>
      <c r="C12" s="7"/>
      <c r="D12" s="8">
        <f>D10+D11</f>
        <v>2810</v>
      </c>
    </row>
    <row r="14" spans="2:6" x14ac:dyDescent="0.2">
      <c r="B14" s="3" t="s">
        <v>64</v>
      </c>
    </row>
    <row r="15" spans="2:6" x14ac:dyDescent="0.2">
      <c r="B15" s="4" t="s">
        <v>7</v>
      </c>
      <c r="D15" s="9">
        <v>0</v>
      </c>
    </row>
    <row r="16" spans="2:6" x14ac:dyDescent="0.2">
      <c r="B16" s="4" t="s">
        <v>66</v>
      </c>
      <c r="D16" s="5">
        <v>-600</v>
      </c>
      <c r="F16" s="12" t="s">
        <v>70</v>
      </c>
    </row>
    <row r="17" spans="2:4" x14ac:dyDescent="0.2">
      <c r="B17" s="6" t="s">
        <v>8</v>
      </c>
      <c r="C17" s="7"/>
      <c r="D17" s="8">
        <f>D15+D16</f>
        <v>-600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6"/>
  <sheetViews>
    <sheetView tabSelected="1" zoomScale="180" zoomScaleNormal="180" workbookViewId="0">
      <selection activeCell="B1" sqref="B1:D16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3" customWidth="1"/>
    <col min="4" max="4" width="14" customWidth="1"/>
  </cols>
  <sheetData>
    <row r="1" spans="2:4" ht="19" x14ac:dyDescent="0.25">
      <c r="B1" s="1" t="s">
        <v>0</v>
      </c>
    </row>
    <row r="2" spans="2:4" x14ac:dyDescent="0.2">
      <c r="B2" s="2" t="s">
        <v>1</v>
      </c>
    </row>
    <row r="4" spans="2:4" x14ac:dyDescent="0.2">
      <c r="B4" s="3" t="s">
        <v>2</v>
      </c>
      <c r="C4" s="3"/>
      <c r="D4" s="3"/>
    </row>
    <row r="5" spans="2:4" x14ac:dyDescent="0.2">
      <c r="B5" s="4" t="s">
        <v>7</v>
      </c>
      <c r="D5" s="13">
        <v>2290</v>
      </c>
    </row>
    <row r="6" spans="2:4" x14ac:dyDescent="0.2">
      <c r="B6" s="6" t="s">
        <v>8</v>
      </c>
      <c r="C6" s="7"/>
      <c r="D6" s="14">
        <f>D5</f>
        <v>2290</v>
      </c>
    </row>
    <row r="7" spans="2:4" x14ac:dyDescent="0.2">
      <c r="D7" s="15"/>
    </row>
    <row r="8" spans="2:4" x14ac:dyDescent="0.2">
      <c r="B8" s="3" t="s">
        <v>9</v>
      </c>
      <c r="C8" s="3"/>
      <c r="D8" s="3"/>
    </row>
    <row r="9" spans="2:4" x14ac:dyDescent="0.2">
      <c r="B9" s="4" t="s">
        <v>7</v>
      </c>
      <c r="D9" s="13">
        <v>170</v>
      </c>
    </row>
    <row r="10" spans="2:4" x14ac:dyDescent="0.2">
      <c r="B10" s="4" t="s">
        <v>71</v>
      </c>
      <c r="D10" s="16">
        <v>2640</v>
      </c>
    </row>
    <row r="11" spans="2:4" x14ac:dyDescent="0.2">
      <c r="B11" s="6" t="s">
        <v>8</v>
      </c>
      <c r="C11" s="7"/>
      <c r="D11" s="14">
        <f>D9+D10</f>
        <v>2810</v>
      </c>
    </row>
    <row r="12" spans="2:4" x14ac:dyDescent="0.2">
      <c r="D12" s="15"/>
    </row>
    <row r="13" spans="2:4" x14ac:dyDescent="0.2">
      <c r="B13" s="3" t="s">
        <v>64</v>
      </c>
      <c r="C13" s="3"/>
      <c r="D13" s="3"/>
    </row>
    <row r="14" spans="2:4" x14ac:dyDescent="0.2">
      <c r="B14" s="4" t="s">
        <v>7</v>
      </c>
      <c r="D14" s="13">
        <v>0</v>
      </c>
    </row>
    <row r="15" spans="2:4" x14ac:dyDescent="0.2">
      <c r="B15" s="4" t="s">
        <v>72</v>
      </c>
      <c r="D15" s="16">
        <v>-600</v>
      </c>
    </row>
    <row r="16" spans="2:4" x14ac:dyDescent="0.2">
      <c r="B16" s="6" t="s">
        <v>8</v>
      </c>
      <c r="C16" s="7"/>
      <c r="D16" s="14">
        <f>D14+D15</f>
        <v>-600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 · Data copied in</vt:lpstr>
      <vt:lpstr>1 · Fold each pile</vt:lpstr>
      <vt:lpstr>2 · Identify the reasons</vt:lpstr>
      <vt:lpstr>3 · Make the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Antle, Rick</cp:lastModifiedBy>
  <dcterms:created xsi:type="dcterms:W3CDTF">2026-07-13T19:18:21Z</dcterms:created>
  <dcterms:modified xsi:type="dcterms:W3CDTF">2026-07-14T16:54:54Z</dcterms:modified>
</cp:coreProperties>
</file>